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mc:AlternateContent xmlns:mc="http://schemas.openxmlformats.org/markup-compatibility/2006">
    <mc:Choice Requires="x15">
      <x15ac:absPath xmlns:x15ac="http://schemas.microsoft.com/office/spreadsheetml/2010/11/ac" url="C:\Users\Lenovo\Desktop\The_Ultimate_Microsoft_Excel_Course\Day1\Excel_102\"/>
    </mc:Choice>
  </mc:AlternateContent>
  <xr:revisionPtr revIDLastSave="0" documentId="13_ncr:1_{29782350-0A7C-4A19-8A0F-9F3A57397AD5}" xr6:coauthVersionLast="47" xr6:coauthVersionMax="47" xr10:uidLastSave="{00000000-0000-0000-0000-000000000000}"/>
  <bookViews>
    <workbookView xWindow="-120" yWindow="-120" windowWidth="20730" windowHeight="11160" firstSheet="11" activeTab="14" xr2:uid="{00000000-000D-0000-FFFF-FFFF00000000}"/>
  </bookViews>
  <sheets>
    <sheet name="2013" sheetId="1" r:id="rId1"/>
    <sheet name="2014" sheetId="2" r:id="rId2"/>
    <sheet name="2015" sheetId="3" r:id="rId3"/>
    <sheet name="SUMMARY" sheetId="4" r:id="rId4"/>
    <sheet name="Employee Records" sheetId="21" r:id="rId5"/>
    <sheet name="Customer Info" sheetId="22" r:id="rId6"/>
    <sheet name="Sheet2" sheetId="25" r:id="rId7"/>
    <sheet name="Order Info" sheetId="23" r:id="rId8"/>
    <sheet name="Sort &amp; Filter" sheetId="6" r:id="rId9"/>
    <sheet name="Subtotals" sheetId="7" r:id="rId10"/>
    <sheet name="Charting" sheetId="8" r:id="rId11"/>
    <sheet name="Buyers 2015" sheetId="11" r:id="rId12"/>
    <sheet name="New Hires" sheetId="13" r:id="rId13"/>
    <sheet name="List Functions" sheetId="19" r:id="rId14"/>
    <sheet name="Pivot" sheetId="26" r:id="rId15"/>
    <sheet name="Sales Data" sheetId="20" r:id="rId16"/>
  </sheets>
  <definedNames>
    <definedName name="_xlnm._FilterDatabase" localSheetId="4" hidden="1">'Employee Records'!$A$1:$H$50</definedName>
    <definedName name="_xlnm._FilterDatabase" localSheetId="13" hidden="1">'List Functions'!$A$1:$F$31</definedName>
    <definedName name="_xlnm._FilterDatabase" localSheetId="15" hidden="1">'Sales Data'!$B$4:$G$152</definedName>
    <definedName name="_xlcn.WorksheetConnection_Excel102Exercises.xlsxCustomerInfo1" hidden="1">CustomerInfo[]</definedName>
    <definedName name="_xlcn.WorksheetConnection_Excel102Exercises.xlsxOrderInfo1" hidden="1">OrderInfo[]</definedName>
    <definedName name="_xlnm.Criteria" localSheetId="13">'List Functions'!#REF!</definedName>
    <definedName name="_xlnm.Extract" localSheetId="13">'List Functions'!#REF!</definedName>
    <definedName name="Slicer_Region">#N/A</definedName>
    <definedName name="Slicer_Year">#N/A</definedName>
  </definedNames>
  <calcPr calcId="191029"/>
  <pivotCaches>
    <pivotCache cacheId="9" r:id="rId17"/>
    <pivotCache cacheId="16"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ustomerInfo" name="CustomerInfo" connection="WorksheetConnection_Excel102Exercises.xlsx!CustomerInfo"/>
          <x15:modelTable id="OrderInfo" name="OrderInfo" connection="WorksheetConnection_Excel102Exercises.xlsx!OrderInfo"/>
        </x15:modelTables>
        <x15:modelRelationships>
          <x15:modelRelationship fromTable="OrderInfo" fromColumn="CustomerID" toTable="CustomerInfo"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48" i="20" l="1"/>
  <c r="F447" i="20"/>
  <c r="F446" i="20"/>
  <c r="F445" i="20"/>
  <c r="F444" i="20"/>
  <c r="F443" i="20"/>
  <c r="F442" i="20"/>
  <c r="F441" i="20"/>
  <c r="F436" i="20"/>
  <c r="F435" i="20"/>
  <c r="F434" i="20"/>
  <c r="F433" i="20"/>
  <c r="F432" i="20"/>
  <c r="F431" i="20"/>
  <c r="F430" i="20"/>
  <c r="F429" i="20"/>
  <c r="F428" i="20"/>
  <c r="F427" i="20"/>
  <c r="F426" i="20"/>
  <c r="F425" i="20"/>
  <c r="F424" i="20"/>
  <c r="F423" i="20"/>
  <c r="F422" i="20"/>
  <c r="F421" i="20"/>
  <c r="F420" i="20"/>
  <c r="F419" i="20"/>
  <c r="F414" i="20"/>
  <c r="F412" i="20"/>
  <c r="F410" i="20"/>
  <c r="F409" i="20"/>
  <c r="F408" i="20"/>
  <c r="F407" i="20"/>
  <c r="F406" i="20"/>
  <c r="F405" i="20"/>
  <c r="F404" i="20"/>
  <c r="F403" i="20"/>
  <c r="F402" i="20"/>
  <c r="F401" i="20"/>
  <c r="F392" i="20"/>
  <c r="F391" i="20"/>
  <c r="F390" i="20"/>
  <c r="F389" i="20"/>
  <c r="F388" i="20"/>
  <c r="F387" i="20"/>
  <c r="F386" i="20"/>
  <c r="F385" i="20"/>
  <c r="F384" i="20"/>
  <c r="F383" i="20"/>
  <c r="F382" i="20"/>
  <c r="F381" i="20"/>
  <c r="F362" i="20"/>
  <c r="F361" i="20"/>
  <c r="F360" i="20"/>
  <c r="F359" i="20"/>
  <c r="F358" i="20"/>
  <c r="F357" i="20"/>
  <c r="F356" i="20"/>
  <c r="F355" i="20"/>
  <c r="F354" i="20"/>
  <c r="F353" i="20"/>
  <c r="F352" i="20"/>
  <c r="F351" i="20"/>
  <c r="F342" i="20"/>
  <c r="F341" i="20"/>
  <c r="F340" i="20"/>
  <c r="F339" i="20"/>
  <c r="F338" i="20"/>
  <c r="F337" i="20"/>
  <c r="F336" i="20"/>
  <c r="F335" i="20"/>
  <c r="F334" i="20"/>
  <c r="F333" i="20"/>
  <c r="F332" i="20"/>
  <c r="F331" i="20"/>
  <c r="F322" i="20"/>
  <c r="F321" i="20"/>
  <c r="F320" i="20"/>
  <c r="F319" i="20"/>
  <c r="F318" i="20"/>
  <c r="F317" i="20"/>
  <c r="F316" i="20"/>
  <c r="F315" i="20"/>
  <c r="F314" i="20"/>
  <c r="F312" i="20"/>
  <c r="F306" i="20"/>
  <c r="F305" i="20"/>
  <c r="F304" i="20"/>
  <c r="F303" i="20"/>
  <c r="F302" i="20"/>
  <c r="F301" i="20"/>
  <c r="F300" i="20"/>
  <c r="F299" i="20"/>
  <c r="F298" i="20"/>
  <c r="F297" i="20"/>
  <c r="F296" i="20"/>
  <c r="F295" i="20"/>
  <c r="F294" i="20"/>
  <c r="F293" i="20"/>
  <c r="F288" i="20"/>
  <c r="F287" i="20"/>
  <c r="F286" i="20"/>
  <c r="F285" i="20"/>
  <c r="F284" i="20"/>
  <c r="F283" i="20"/>
  <c r="F282" i="20"/>
  <c r="F281" i="20"/>
  <c r="F280" i="20"/>
  <c r="F279" i="20"/>
  <c r="F278" i="20"/>
  <c r="F277" i="20"/>
  <c r="F276" i="20"/>
  <c r="F275" i="20"/>
  <c r="F274" i="20"/>
  <c r="F273" i="20"/>
  <c r="F272" i="20"/>
  <c r="F271" i="20"/>
  <c r="F266" i="20"/>
  <c r="F264" i="20"/>
  <c r="F262" i="20"/>
  <c r="F261" i="20"/>
  <c r="F260" i="20"/>
  <c r="F259" i="20"/>
  <c r="F258" i="20"/>
  <c r="F257" i="20"/>
  <c r="F256" i="20"/>
  <c r="F255" i="20"/>
  <c r="F254" i="20"/>
  <c r="F253" i="20"/>
  <c r="F244" i="20"/>
  <c r="F243" i="20"/>
  <c r="F242" i="20"/>
  <c r="F241" i="20"/>
  <c r="F240" i="20"/>
  <c r="F239" i="20"/>
  <c r="F238" i="20"/>
  <c r="F237" i="20"/>
  <c r="F236" i="20"/>
  <c r="F235" i="20"/>
  <c r="F234" i="20"/>
  <c r="F233" i="20"/>
  <c r="F214" i="20"/>
  <c r="F213" i="20"/>
  <c r="F212" i="20"/>
  <c r="F211" i="20"/>
  <c r="F210" i="20"/>
  <c r="F209" i="20"/>
  <c r="F208" i="20"/>
  <c r="F207" i="20"/>
  <c r="F206" i="20"/>
  <c r="F205" i="20"/>
  <c r="F204" i="20"/>
  <c r="F203" i="20"/>
  <c r="F194" i="20"/>
  <c r="F193" i="20"/>
  <c r="F192" i="20"/>
  <c r="F191" i="20"/>
  <c r="F190" i="20"/>
  <c r="F189" i="20"/>
  <c r="F188" i="20"/>
  <c r="F187" i="20"/>
  <c r="F186" i="20"/>
  <c r="F185" i="20"/>
  <c r="F184" i="20"/>
  <c r="F183" i="20"/>
  <c r="F174" i="20"/>
  <c r="F173" i="20"/>
  <c r="F172" i="20"/>
  <c r="F171" i="20"/>
  <c r="F170" i="20"/>
  <c r="F169" i="20"/>
  <c r="F168" i="20"/>
  <c r="F167" i="20"/>
  <c r="F166" i="20"/>
  <c r="F164" i="20"/>
  <c r="F158" i="20"/>
  <c r="F157" i="20"/>
  <c r="F156" i="20"/>
  <c r="F155" i="20"/>
  <c r="F154" i="20"/>
  <c r="F153" i="20"/>
  <c r="F148" i="20"/>
  <c r="F147" i="20"/>
  <c r="F152" i="20"/>
  <c r="F140" i="20"/>
  <c r="F139" i="20"/>
  <c r="F151" i="20"/>
  <c r="F138" i="20"/>
  <c r="F126" i="20"/>
  <c r="F125" i="20"/>
  <c r="F134" i="20"/>
  <c r="F130" i="20"/>
  <c r="F118" i="20"/>
  <c r="F133" i="20"/>
  <c r="F129" i="20"/>
  <c r="F110" i="20"/>
  <c r="F96" i="20"/>
  <c r="F114" i="20"/>
  <c r="F113" i="20"/>
  <c r="F95" i="20"/>
  <c r="F109" i="20"/>
  <c r="F108" i="20"/>
  <c r="F88" i="20"/>
  <c r="F66" i="20"/>
  <c r="F92" i="20"/>
  <c r="F91" i="20"/>
  <c r="F65" i="20"/>
  <c r="F87" i="20"/>
  <c r="F58" i="20"/>
  <c r="F57" i="20"/>
  <c r="F46" i="20"/>
  <c r="F62" i="20"/>
  <c r="F61" i="20"/>
  <c r="F45" i="20"/>
  <c r="F38" i="20"/>
  <c r="F26" i="20"/>
  <c r="F42" i="20"/>
  <c r="F41" i="20"/>
  <c r="F37" i="20"/>
  <c r="F18" i="20"/>
  <c r="F10" i="20"/>
  <c r="F9" i="20"/>
  <c r="F20" i="20"/>
  <c r="F8" i="20"/>
  <c r="F24" i="20"/>
  <c r="F23" i="20"/>
  <c r="F16" i="20"/>
  <c r="F146" i="20"/>
  <c r="F145" i="20"/>
  <c r="F124" i="20"/>
  <c r="F123" i="20"/>
  <c r="F4" i="8"/>
  <c r="F5" i="8"/>
  <c r="F6" i="8"/>
  <c r="F7" i="8"/>
  <c r="F8" i="8"/>
  <c r="F59" i="19"/>
  <c r="F15" i="19"/>
  <c r="F44" i="19"/>
  <c r="F29" i="19"/>
  <c r="F43" i="19"/>
  <c r="F42" i="19"/>
  <c r="F41" i="19"/>
  <c r="F39" i="19"/>
  <c r="F38" i="19"/>
  <c r="F36" i="19"/>
  <c r="F40" i="19"/>
  <c r="F34" i="19"/>
  <c r="F37" i="19"/>
  <c r="F35" i="19"/>
  <c r="F33" i="19"/>
  <c r="F32" i="19"/>
  <c r="F30" i="19"/>
  <c r="F31" i="19"/>
  <c r="F27" i="19"/>
  <c r="F28" i="19"/>
  <c r="F25" i="19"/>
  <c r="F26" i="19"/>
  <c r="F24" i="19"/>
  <c r="F23" i="19"/>
  <c r="F22" i="19"/>
  <c r="F20" i="19"/>
  <c r="F21" i="19"/>
  <c r="F18" i="19"/>
  <c r="F19" i="19"/>
  <c r="F17" i="19"/>
  <c r="F16" i="19"/>
  <c r="F2" i="19"/>
  <c r="F6" i="19"/>
  <c r="F8" i="19"/>
  <c r="F4" i="19"/>
  <c r="F7" i="19"/>
  <c r="F12" i="19"/>
  <c r="F3" i="19"/>
  <c r="F45" i="19"/>
  <c r="F46" i="19"/>
  <c r="F54" i="19"/>
  <c r="F49" i="19"/>
  <c r="F47" i="19"/>
  <c r="F51" i="19"/>
  <c r="F48" i="19"/>
  <c r="F58" i="19"/>
  <c r="F53" i="19"/>
  <c r="F10" i="19"/>
  <c r="F11" i="19"/>
  <c r="F13" i="19"/>
  <c r="F14" i="19"/>
  <c r="F9" i="19"/>
  <c r="F5" i="19"/>
  <c r="F55" i="19"/>
  <c r="F57" i="19"/>
  <c r="F56" i="19"/>
  <c r="F52" i="19"/>
  <c r="F50" i="19"/>
  <c r="F131" i="20"/>
  <c r="F116" i="20"/>
  <c r="F128" i="20"/>
  <c r="F132" i="20"/>
  <c r="F135" i="20"/>
  <c r="F149" i="20"/>
  <c r="F136" i="20"/>
  <c r="F137" i="20"/>
  <c r="F150" i="20"/>
  <c r="F21" i="20"/>
  <c r="F22" i="20"/>
  <c r="F5" i="20"/>
  <c r="F19" i="20"/>
  <c r="F6" i="20"/>
  <c r="F7" i="20"/>
  <c r="F35" i="20"/>
  <c r="F39" i="20"/>
  <c r="F40" i="20"/>
  <c r="F25" i="20"/>
  <c r="F36" i="20"/>
  <c r="F43" i="20"/>
  <c r="F59" i="20"/>
  <c r="F60" i="20"/>
  <c r="F44" i="20"/>
  <c r="F55" i="20"/>
  <c r="F56" i="20"/>
  <c r="F85" i="20"/>
  <c r="F63" i="20"/>
  <c r="F89" i="20"/>
  <c r="F90" i="20"/>
  <c r="F64" i="20"/>
  <c r="F86" i="20"/>
  <c r="F105" i="20"/>
  <c r="F106" i="20"/>
  <c r="F93" i="20"/>
  <c r="F111" i="20"/>
  <c r="F112" i="20"/>
  <c r="F94" i="20"/>
  <c r="F107" i="20"/>
  <c r="F127" i="20"/>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86BD1-6B55-4109-8B62-3408091B686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2957578-3CD7-40C0-9F62-68500EAA60E1}" name="WorksheetConnection_Excel102Exercises.xlsx!CustomerInfo" type="102" refreshedVersion="8" minRefreshableVersion="5">
    <extLst>
      <ext xmlns:x15="http://schemas.microsoft.com/office/spreadsheetml/2010/11/main" uri="{DE250136-89BD-433C-8126-D09CA5730AF9}">
        <x15:connection id="CustomerInfo">
          <x15:rangePr sourceName="_xlcn.WorksheetConnection_Excel102Exercises.xlsxCustomerInfo1"/>
        </x15:connection>
      </ext>
    </extLst>
  </connection>
  <connection id="3" xr16:uid="{10A7E06F-8EE1-43C2-BEC8-4325A7E856B5}" name="WorksheetConnection_Excel102Exercises.xlsx!OrderInfo" type="102" refreshedVersion="8" minRefreshableVersion="5">
    <extLst>
      <ext xmlns:x15="http://schemas.microsoft.com/office/spreadsheetml/2010/11/main" uri="{DE250136-89BD-433C-8126-D09CA5730AF9}">
        <x15:connection id="OrderInfo">
          <x15:rangePr sourceName="_xlcn.WorksheetConnection_Excel102Exercises.xlsxOrderInfo1"/>
        </x15:connection>
      </ext>
    </extLst>
  </connection>
</connections>
</file>

<file path=xl/sharedStrings.xml><?xml version="1.0" encoding="utf-8"?>
<sst xmlns="http://schemas.openxmlformats.org/spreadsheetml/2006/main" count="9292" uniqueCount="1515">
  <si>
    <t>Town</t>
  </si>
  <si>
    <t>Circulation</t>
  </si>
  <si>
    <t>Beverly</t>
  </si>
  <si>
    <t>Cherrydale</t>
  </si>
  <si>
    <t>Jamestown</t>
  </si>
  <si>
    <t>Larksburg</t>
  </si>
  <si>
    <t>Washerville</t>
  </si>
  <si>
    <t>Circulation Results for the Past Three Years</t>
  </si>
  <si>
    <t>Rental Car Status:</t>
  </si>
  <si>
    <t>ID_NO</t>
  </si>
  <si>
    <t>MAKE</t>
  </si>
  <si>
    <t>MODEL</t>
  </si>
  <si>
    <t>DOORS</t>
  </si>
  <si>
    <t>AUTO</t>
  </si>
  <si>
    <t>SMOKE</t>
  </si>
  <si>
    <t>CNVRT</t>
  </si>
  <si>
    <t>IN</t>
  </si>
  <si>
    <t>RATE</t>
  </si>
  <si>
    <t>Chevy</t>
  </si>
  <si>
    <t>Cavalier</t>
  </si>
  <si>
    <t>n</t>
  </si>
  <si>
    <t>y</t>
  </si>
  <si>
    <t>Oldsmobile</t>
  </si>
  <si>
    <t>Cutlas Supreme</t>
  </si>
  <si>
    <t>Ford</t>
  </si>
  <si>
    <t>Festiva</t>
  </si>
  <si>
    <t>Chrysler</t>
  </si>
  <si>
    <t>LeBaron</t>
  </si>
  <si>
    <t>Pontiac</t>
  </si>
  <si>
    <t>Sunbird</t>
  </si>
  <si>
    <t>Tempo</t>
  </si>
  <si>
    <t>Astrovan</t>
  </si>
  <si>
    <t>Dodge</t>
  </si>
  <si>
    <t>Caravan</t>
  </si>
  <si>
    <t>Lumina</t>
  </si>
  <si>
    <t>Salesperson</t>
  </si>
  <si>
    <t>Product</t>
  </si>
  <si>
    <t>Units</t>
  </si>
  <si>
    <t>Price/Unit</t>
  </si>
  <si>
    <t>Sales</t>
  </si>
  <si>
    <t>Cattapan</t>
  </si>
  <si>
    <t>Chocolate Chocolate Chip</t>
  </si>
  <si>
    <t>Fudge Brownie</t>
  </si>
  <si>
    <t>Strawberry</t>
  </si>
  <si>
    <t>Vanilla</t>
  </si>
  <si>
    <t>DeMarcos</t>
  </si>
  <si>
    <t>Packet</t>
  </si>
  <si>
    <t>Patterson</t>
  </si>
  <si>
    <t>Sergeto</t>
  </si>
  <si>
    <t>Smith</t>
  </si>
  <si>
    <t>Wilson</t>
  </si>
  <si>
    <t>Sales Figures, January 1998</t>
  </si>
  <si>
    <t>Sales Person</t>
  </si>
  <si>
    <t>Week 1</t>
  </si>
  <si>
    <t>Week 2</t>
  </si>
  <si>
    <t>Week 3</t>
  </si>
  <si>
    <t>Week 4</t>
  </si>
  <si>
    <t>Totals</t>
  </si>
  <si>
    <t>R.Smith</t>
  </si>
  <si>
    <t>H. James</t>
  </si>
  <si>
    <t>S.O'Brian</t>
  </si>
  <si>
    <t>L. Carrie</t>
  </si>
  <si>
    <t>K. Dunn</t>
  </si>
  <si>
    <t>Hire Date</t>
  </si>
  <si>
    <t>Ursula</t>
  </si>
  <si>
    <t>Pete</t>
  </si>
  <si>
    <t>Technical Support</t>
  </si>
  <si>
    <t>Miller</t>
  </si>
  <si>
    <t>Melissa</t>
  </si>
  <si>
    <t>Reynolds</t>
  </si>
  <si>
    <t>Howard</t>
  </si>
  <si>
    <t>Katherine</t>
  </si>
  <si>
    <t>Frank</t>
  </si>
  <si>
    <t>Month</t>
  </si>
  <si>
    <t>Year</t>
  </si>
  <si>
    <t>Cost</t>
  </si>
  <si>
    <t>Items</t>
  </si>
  <si>
    <t>Buyer</t>
  </si>
  <si>
    <t>April</t>
  </si>
  <si>
    <t>De Soto</t>
  </si>
  <si>
    <t>Smyth</t>
  </si>
  <si>
    <t>Gonzales</t>
  </si>
  <si>
    <t>August</t>
  </si>
  <si>
    <t>February</t>
  </si>
  <si>
    <t>January</t>
  </si>
  <si>
    <t>July</t>
  </si>
  <si>
    <t>June</t>
  </si>
  <si>
    <t>March</t>
  </si>
  <si>
    <t>May</t>
  </si>
  <si>
    <t>November</t>
  </si>
  <si>
    <t>Ice Cream</t>
  </si>
  <si>
    <t>Name</t>
  </si>
  <si>
    <t>Given HMO Packet</t>
  </si>
  <si>
    <t>HMO Pkt turned in</t>
  </si>
  <si>
    <t>Intro Meeting</t>
  </si>
  <si>
    <t>Phone Assigned</t>
  </si>
  <si>
    <t>Room No.</t>
  </si>
  <si>
    <t>Harrison, Susan</t>
  </si>
  <si>
    <t>Jones, Kennan</t>
  </si>
  <si>
    <t>Johnson, Terry</t>
  </si>
  <si>
    <t>Polus, Patty</t>
  </si>
  <si>
    <t>Key, Kerry</t>
  </si>
  <si>
    <t>Martin, Teresa</t>
  </si>
  <si>
    <t>Logan, Yolanda</t>
  </si>
  <si>
    <t>Diaz, Juanita</t>
  </si>
  <si>
    <t>Smith, Susanne</t>
  </si>
  <si>
    <t>Metre, Marge</t>
  </si>
  <si>
    <t>Lucas, Karen</t>
  </si>
  <si>
    <t>Matheson, Kim</t>
  </si>
  <si>
    <t>Thomas, Jim</t>
  </si>
  <si>
    <t>Rogers, Paul</t>
  </si>
  <si>
    <t>Rufus, Reginald</t>
  </si>
  <si>
    <t>Trevors, Sandy</t>
  </si>
  <si>
    <t>Egan, Gregory</t>
  </si>
  <si>
    <t>Region</t>
  </si>
  <si>
    <t>North</t>
  </si>
  <si>
    <t>East</t>
  </si>
  <si>
    <t>West</t>
  </si>
  <si>
    <t>South</t>
  </si>
  <si>
    <t>Division</t>
  </si>
  <si>
    <t>Category</t>
  </si>
  <si>
    <t>Total Expenses</t>
  </si>
  <si>
    <t>Telephone</t>
  </si>
  <si>
    <t>Copying</t>
  </si>
  <si>
    <t>Overhead</t>
  </si>
  <si>
    <t>Software</t>
  </si>
  <si>
    <t>Maintenance</t>
  </si>
  <si>
    <t>Supplies</t>
  </si>
  <si>
    <t>Telemarketing</t>
  </si>
  <si>
    <t>Contractors</t>
  </si>
  <si>
    <t>Consultants</t>
  </si>
  <si>
    <t>Rent</t>
  </si>
  <si>
    <t>Miscellaneous</t>
  </si>
  <si>
    <t>Advertising</t>
  </si>
  <si>
    <t>Clerical Support</t>
  </si>
  <si>
    <t>Salaries</t>
  </si>
  <si>
    <t>Type</t>
  </si>
  <si>
    <t>Bishop</t>
  </si>
  <si>
    <t>Frozen Yogurt</t>
  </si>
  <si>
    <t>Pullen</t>
  </si>
  <si>
    <t>Tasty Treats</t>
  </si>
  <si>
    <t>Watson</t>
  </si>
  <si>
    <t>Central</t>
  </si>
  <si>
    <t>Popsicles</t>
  </si>
  <si>
    <t>December</t>
  </si>
  <si>
    <t>Emp ID</t>
  </si>
  <si>
    <t>Last Name</t>
  </si>
  <si>
    <t>First Name</t>
  </si>
  <si>
    <t>Dept</t>
  </si>
  <si>
    <t>E-mail</t>
  </si>
  <si>
    <t>Phone Ext</t>
  </si>
  <si>
    <t>Location</t>
  </si>
  <si>
    <t>Hazel</t>
  </si>
  <si>
    <t>SA</t>
  </si>
  <si>
    <t>hazelg</t>
  </si>
  <si>
    <t>Building 3</t>
  </si>
  <si>
    <t>AT</t>
  </si>
  <si>
    <t>howards</t>
  </si>
  <si>
    <t>Building 1</t>
  </si>
  <si>
    <t>Joe</t>
  </si>
  <si>
    <t>joeg</t>
  </si>
  <si>
    <t>Scote</t>
  </si>
  <si>
    <t>Gail</t>
  </si>
  <si>
    <t>gails</t>
  </si>
  <si>
    <t>Kane</t>
  </si>
  <si>
    <t>Sheryl</t>
  </si>
  <si>
    <t>AD</t>
  </si>
  <si>
    <t>sherylk</t>
  </si>
  <si>
    <t>Building 2</t>
  </si>
  <si>
    <t>Hapsbuch</t>
  </si>
  <si>
    <t>Kendrick</t>
  </si>
  <si>
    <t>AC</t>
  </si>
  <si>
    <t>kendrickh</t>
  </si>
  <si>
    <t>Henders</t>
  </si>
  <si>
    <t>Mark</t>
  </si>
  <si>
    <t>markh</t>
  </si>
  <si>
    <t>Berwick</t>
  </si>
  <si>
    <t>Sam</t>
  </si>
  <si>
    <t>samb</t>
  </si>
  <si>
    <t>Atherton</t>
  </si>
  <si>
    <t>Katie</t>
  </si>
  <si>
    <t>HR</t>
  </si>
  <si>
    <t>katiea</t>
  </si>
  <si>
    <t>Bellwood</t>
  </si>
  <si>
    <t>MK</t>
  </si>
  <si>
    <t>frankb</t>
  </si>
  <si>
    <t>Cooper</t>
  </si>
  <si>
    <t>Linda</t>
  </si>
  <si>
    <t>lindac</t>
  </si>
  <si>
    <t>Cronwith</t>
  </si>
  <si>
    <t>Brent</t>
  </si>
  <si>
    <t>brentc</t>
  </si>
  <si>
    <t>Simpson</t>
  </si>
  <si>
    <t>Sandrae</t>
  </si>
  <si>
    <t>MF</t>
  </si>
  <si>
    <t>sandraes</t>
  </si>
  <si>
    <t>Sindole</t>
  </si>
  <si>
    <t>Randy</t>
  </si>
  <si>
    <t>randys</t>
  </si>
  <si>
    <t>Ellen</t>
  </si>
  <si>
    <t>ellens</t>
  </si>
  <si>
    <t>Vuanuo</t>
  </si>
  <si>
    <t>Tuome</t>
  </si>
  <si>
    <t>tuomev</t>
  </si>
  <si>
    <t>Szcznyck</t>
  </si>
  <si>
    <t>Tadeuz</t>
  </si>
  <si>
    <t>tadeuzs</t>
  </si>
  <si>
    <t>Ygarre</t>
  </si>
  <si>
    <t>Lisa</t>
  </si>
  <si>
    <t>lisay</t>
  </si>
  <si>
    <t>Morton</t>
  </si>
  <si>
    <t>Norman</t>
  </si>
  <si>
    <t>normanm</t>
  </si>
  <si>
    <t>Wu</t>
  </si>
  <si>
    <t>Tammy</t>
  </si>
  <si>
    <t>tammyw</t>
  </si>
  <si>
    <t>Lampstone</t>
  </si>
  <si>
    <t>petel</t>
  </si>
  <si>
    <t>Kegler</t>
  </si>
  <si>
    <t>Pam</t>
  </si>
  <si>
    <t>pamk</t>
  </si>
  <si>
    <t>Bell</t>
  </si>
  <si>
    <t>Tom</t>
  </si>
  <si>
    <t>tomb</t>
  </si>
  <si>
    <t>Kellerman</t>
  </si>
  <si>
    <t>Tommie</t>
  </si>
  <si>
    <t>tomk</t>
  </si>
  <si>
    <t>Tuppman</t>
  </si>
  <si>
    <t>Lise-Anne</t>
  </si>
  <si>
    <t>lise-annt</t>
  </si>
  <si>
    <t>Kourios</t>
  </si>
  <si>
    <t>Theo</t>
  </si>
  <si>
    <t>theok</t>
  </si>
  <si>
    <t>Dixon-Waite</t>
  </si>
  <si>
    <t>Sherrie</t>
  </si>
  <si>
    <t>sherried</t>
  </si>
  <si>
    <t>Boughton</t>
  </si>
  <si>
    <t>fboughton</t>
  </si>
  <si>
    <t>Janet</t>
  </si>
  <si>
    <t>janetm</t>
  </si>
  <si>
    <t>Alstain</t>
  </si>
  <si>
    <t>Isolde</t>
  </si>
  <si>
    <t>isoldea</t>
  </si>
  <si>
    <t>Sammler</t>
  </si>
  <si>
    <t>marks</t>
  </si>
  <si>
    <t>Brwyne</t>
  </si>
  <si>
    <t>Melia</t>
  </si>
  <si>
    <t>meliab</t>
  </si>
  <si>
    <t>Barton</t>
  </si>
  <si>
    <t>Eileen</t>
  </si>
  <si>
    <t>eileenb</t>
  </si>
  <si>
    <t>Al-Sabah</t>
  </si>
  <si>
    <t>Daoud</t>
  </si>
  <si>
    <t>daouda</t>
  </si>
  <si>
    <t>Bankler</t>
  </si>
  <si>
    <t>Rowena</t>
  </si>
  <si>
    <t>rowenab</t>
  </si>
  <si>
    <t>Zostoc</t>
  </si>
  <si>
    <t>melissaz</t>
  </si>
  <si>
    <t>Barbara</t>
  </si>
  <si>
    <t>barbaras</t>
  </si>
  <si>
    <t>Mueller</t>
  </si>
  <si>
    <t>ursulam</t>
  </si>
  <si>
    <t>Sampson</t>
  </si>
  <si>
    <t>Carla</t>
  </si>
  <si>
    <t>carlas</t>
  </si>
  <si>
    <t>Fontaine</t>
  </si>
  <si>
    <t>Jean</t>
  </si>
  <si>
    <t>jeanf</t>
  </si>
  <si>
    <t>Corwick</t>
  </si>
  <si>
    <t>Rob</t>
  </si>
  <si>
    <t>robertc</t>
  </si>
  <si>
    <t>Cortlandt</t>
  </si>
  <si>
    <t>Charles</t>
  </si>
  <si>
    <t>charlesc</t>
  </si>
  <si>
    <t>Franklin</t>
  </si>
  <si>
    <t>Larry</t>
  </si>
  <si>
    <t>larryf</t>
  </si>
  <si>
    <t>Elaine</t>
  </si>
  <si>
    <t>eberwick</t>
  </si>
  <si>
    <t>Judy</t>
  </si>
  <si>
    <t>judyc</t>
  </si>
  <si>
    <t>MacDonald</t>
  </si>
  <si>
    <t>Bronwyn</t>
  </si>
  <si>
    <t>bronm</t>
  </si>
  <si>
    <t>Chang</t>
  </si>
  <si>
    <t>Jessica</t>
  </si>
  <si>
    <t>jessc</t>
  </si>
  <si>
    <t>Mivelli</t>
  </si>
  <si>
    <t>Maria</t>
  </si>
  <si>
    <t>mariam</t>
  </si>
  <si>
    <t>Atherly</t>
  </si>
  <si>
    <t>kathya</t>
  </si>
  <si>
    <t>Lee</t>
  </si>
  <si>
    <t>Parker</t>
  </si>
  <si>
    <t>Sales Past Three Years</t>
  </si>
  <si>
    <t>Order #</t>
  </si>
  <si>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</si>
  <si>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</si>
  <si>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</si>
  <si>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</si>
  <si>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</si>
  <si>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</si>
  <si>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</si>
  <si>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</si>
  <si>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</si>
  <si>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</si>
  <si>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</si>
  <si>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</si>
  <si>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</si>
  <si>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</si>
  <si>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</si>
  <si>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</si>
  <si>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</si>
  <si>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</si>
  <si>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</si>
  <si>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</si>
  <si>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</si>
  <si>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</si>
  <si>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</si>
  <si>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</si>
  <si>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</si>
  <si>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</si>
  <si>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</si>
  <si>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</si>
  <si>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</si>
  <si>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</si>
  <si>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</si>
  <si>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</si>
  <si>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</si>
  <si>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</si>
  <si>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</si>
  <si>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</si>
  <si>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</si>
  <si>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</si>
  <si>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</si>
  <si>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</si>
  <si>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</si>
  <si>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</si>
  <si>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</si>
  <si>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</si>
  <si>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</si>
  <si>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</si>
  <si>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</si>
  <si>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</si>
  <si>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</si>
  <si>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</si>
  <si>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</si>
  <si>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</si>
  <si>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</si>
  <si>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</si>
  <si>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</si>
  <si>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</si>
  <si>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</si>
  <si>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</si>
  <si>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</si>
  <si>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</si>
  <si>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</si>
  <si>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</si>
  <si>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</si>
  <si>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</si>
  <si>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</si>
  <si>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</si>
  <si>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</si>
  <si>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</si>
  <si>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</si>
  <si>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</si>
  <si>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</si>
  <si>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</si>
  <si>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</si>
  <si>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</si>
  <si>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</si>
  <si>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</si>
  <si>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</si>
  <si>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</si>
  <si>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</si>
  <si>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</si>
  <si>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</si>
  <si>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</si>
  <si>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</si>
  <si>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</si>
  <si>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</si>
  <si>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</si>
  <si>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</si>
  <si>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</si>
  <si>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</si>
  <si>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</si>
  <si>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</si>
  <si>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</si>
  <si>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</si>
  <si>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</si>
  <si>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</si>
  <si>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</si>
  <si>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</si>
  <si>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</si>
  <si>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</si>
  <si>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</si>
  <si>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</si>
  <si>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</si>
  <si>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</si>
  <si>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</si>
  <si>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</si>
  <si>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</si>
  <si>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</si>
  <si>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</si>
  <si>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</si>
  <si>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</si>
  <si>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</si>
  <si>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</si>
  <si>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</si>
  <si>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</si>
  <si>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</si>
  <si>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</si>
  <si>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</si>
  <si>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</si>
  <si>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</si>
  <si>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</si>
  <si>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</si>
  <si>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</si>
  <si>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</si>
  <si>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</si>
  <si>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</si>
  <si>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</si>
  <si>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</si>
  <si>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</si>
  <si>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</si>
  <si>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</si>
  <si>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</si>
  <si>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</si>
  <si>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</si>
  <si>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</si>
  <si>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</si>
  <si>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</si>
  <si>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</si>
  <si>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</si>
  <si>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</si>
  <si>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</si>
  <si>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</si>
  <si>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</si>
  <si>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</si>
  <si>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</si>
  <si>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</si>
  <si>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</si>
  <si>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</si>
  <si>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</si>
  <si>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</si>
  <si>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</si>
  <si>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</si>
  <si>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</si>
  <si>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</si>
  <si>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</si>
  <si>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</si>
  <si>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</si>
  <si>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</si>
  <si>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</si>
  <si>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</si>
  <si>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</si>
  <si>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</si>
  <si>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</si>
  <si>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</si>
  <si>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</si>
  <si>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</si>
  <si>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</si>
  <si>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</si>
  <si>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</si>
  <si>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</si>
  <si>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</si>
  <si>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</si>
  <si>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</si>
  <si>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</si>
  <si>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</si>
  <si>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</si>
  <si>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</si>
  <si>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</si>
  <si>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</si>
  <si>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</si>
  <si>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</si>
  <si>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</si>
  <si>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</si>
  <si>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</si>
  <si>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</si>
  <si>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</si>
  <si>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</si>
  <si>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</si>
  <si>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</si>
  <si>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</si>
  <si>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</si>
  <si>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</si>
  <si>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</si>
  <si>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</si>
  <si>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</si>
  <si>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</si>
  <si>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</si>
  <si>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</si>
  <si>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</si>
  <si>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</si>
  <si>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</si>
  <si>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</si>
  <si>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</si>
  <si>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</si>
  <si>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</si>
  <si>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</si>
  <si>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</si>
  <si>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</si>
  <si>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</si>
  <si>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</si>
  <si>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</si>
  <si>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</si>
  <si>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</si>
  <si>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</si>
  <si>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</si>
  <si>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</si>
  <si>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</si>
  <si>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</si>
  <si>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</si>
  <si>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</si>
  <si>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</si>
  <si>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</si>
  <si>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</si>
  <si>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</si>
  <si>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</si>
  <si>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</si>
  <si>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</si>
  <si>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</si>
  <si>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</si>
  <si>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</si>
  <si>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</si>
  <si>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</si>
  <si>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</si>
  <si>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</si>
  <si>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</si>
  <si>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</si>
  <si>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</si>
  <si>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</si>
  <si>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</si>
  <si>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</si>
  <si>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</si>
  <si>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</si>
  <si>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</si>
  <si>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</si>
  <si>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</si>
  <si>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</si>
  <si>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</si>
  <si>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</si>
  <si>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</si>
  <si>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</si>
  <si>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</si>
  <si>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</si>
  <si>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</si>
  <si>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</si>
  <si>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</si>
  <si>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</si>
  <si>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</si>
  <si>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</si>
  <si>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</si>
  <si>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</si>
  <si>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</si>
  <si>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</si>
  <si>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</si>
  <si>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</si>
  <si>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</si>
  <si>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</si>
  <si>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</si>
  <si>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</si>
  <si>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</si>
  <si>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</si>
  <si>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</si>
  <si>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</si>
  <si>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</si>
  <si>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</si>
  <si>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</si>
  <si>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</si>
  <si>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</si>
  <si>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</si>
  <si>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</si>
  <si>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</si>
  <si>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</si>
  <si>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</si>
  <si>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</si>
  <si>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</si>
  <si>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</si>
  <si>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</si>
  <si>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</si>
  <si>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</si>
  <si>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</si>
  <si>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</si>
  <si>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</si>
  <si>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</si>
  <si>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</si>
  <si>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</si>
  <si>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</si>
  <si>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</si>
  <si>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</si>
  <si>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</si>
  <si>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</si>
  <si>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</si>
  <si>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</si>
  <si>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</si>
  <si>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</si>
  <si>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</si>
  <si>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</si>
  <si>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</si>
  <si>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</si>
  <si>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</si>
  <si>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</si>
  <si>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</si>
  <si>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</si>
  <si>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</si>
  <si>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</si>
  <si>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</si>
  <si>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</si>
  <si>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</si>
  <si>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</si>
  <si>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</si>
  <si>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</si>
  <si>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</si>
  <si>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</si>
  <si>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</si>
  <si>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</si>
  <si>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</si>
  <si>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</si>
  <si>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</si>
  <si>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</si>
  <si>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</si>
  <si>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</si>
  <si>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</si>
  <si>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</si>
  <si>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</si>
  <si>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</si>
  <si>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</si>
  <si>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</si>
  <si>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</si>
  <si>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</si>
  <si>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</si>
  <si>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</si>
  <si>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</si>
  <si>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</si>
  <si>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</si>
  <si>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</si>
  <si>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</si>
  <si>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</si>
  <si>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</si>
  <si>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</si>
  <si>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</si>
  <si>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</si>
  <si>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</si>
  <si>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</si>
  <si>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</si>
  <si>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</si>
  <si>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</si>
  <si>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</si>
  <si>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</si>
  <si>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</si>
  <si>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</si>
  <si>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</si>
  <si>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</si>
  <si>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</si>
  <si>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</si>
  <si>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</si>
  <si>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</si>
  <si>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</si>
  <si>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</si>
  <si>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</si>
  <si>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</si>
  <si>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</si>
  <si>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</si>
  <si>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</si>
  <si>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</si>
  <si>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</si>
  <si>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</si>
  <si>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</si>
  <si>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</si>
  <si>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</si>
  <si>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</si>
  <si>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</si>
  <si>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</si>
  <si>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</si>
  <si>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</si>
  <si>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</si>
  <si>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</si>
  <si>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</si>
  <si>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</si>
  <si>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</si>
  <si>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</si>
  <si>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</si>
  <si>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</si>
  <si>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</si>
  <si>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</si>
  <si>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</si>
  <si>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</si>
  <si>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</si>
  <si>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</si>
  <si>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</si>
  <si>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</si>
  <si>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</si>
  <si>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</si>
  <si>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</si>
  <si>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</si>
  <si>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</si>
  <si>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</si>
  <si>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</si>
  <si>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</si>
  <si>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</si>
  <si>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</si>
  <si>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</si>
  <si>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</si>
  <si>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</si>
  <si>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</si>
  <si>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</si>
  <si>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</si>
  <si>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</si>
  <si>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</si>
  <si>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</si>
  <si>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</si>
  <si>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</si>
  <si>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</si>
  <si>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</si>
  <si>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</si>
  <si>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</si>
  <si>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</si>
  <si>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</si>
  <si>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</si>
  <si>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</si>
  <si>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</si>
  <si>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</si>
  <si>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</si>
  <si>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</si>
  <si>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</si>
  <si>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</si>
  <si>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</si>
  <si>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</si>
  <si>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</si>
  <si>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</si>
  <si>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</si>
  <si>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</si>
  <si>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</si>
  <si>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</si>
  <si>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</si>
  <si>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</si>
  <si>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</si>
  <si>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</si>
  <si>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Circulation Results 2015</t>
  </si>
  <si>
    <t>Circulation Results 2014</t>
  </si>
  <si>
    <t>Circulation Results 2013</t>
  </si>
  <si>
    <t>2013 - 2015</t>
  </si>
  <si>
    <t>CustomerID</t>
  </si>
  <si>
    <t>CompanyName</t>
  </si>
  <si>
    <t>ContactName</t>
  </si>
  <si>
    <t>ContactTitle</t>
  </si>
  <si>
    <t>Address</t>
  </si>
  <si>
    <t>City</t>
  </si>
  <si>
    <t>PostalCode</t>
  </si>
  <si>
    <t>Country</t>
  </si>
  <si>
    <t>Phone</t>
  </si>
  <si>
    <t>Fax</t>
  </si>
  <si>
    <t>ALFKI</t>
  </si>
  <si>
    <t>Alfreds Futterkiste</t>
  </si>
  <si>
    <t>Maria Anders</t>
  </si>
  <si>
    <t>Sales Representative</t>
  </si>
  <si>
    <t>Obere Str. 57</t>
  </si>
  <si>
    <t>Berlin</t>
  </si>
  <si>
    <t>12209</t>
  </si>
  <si>
    <t>Germany</t>
  </si>
  <si>
    <t>030-0074321</t>
  </si>
  <si>
    <t>030-0076545</t>
  </si>
  <si>
    <t>ANATR</t>
  </si>
  <si>
    <t>Ana Trujillo Emparedados y helados</t>
  </si>
  <si>
    <t>Ana Trujillo</t>
  </si>
  <si>
    <t>Owner</t>
  </si>
  <si>
    <t>Avda. de la Constitución 2222</t>
  </si>
  <si>
    <t>México D.F.</t>
  </si>
  <si>
    <t>05021</t>
  </si>
  <si>
    <t>Mexico</t>
  </si>
  <si>
    <t>(5) 555-4729</t>
  </si>
  <si>
    <t>(5) 555-3745</t>
  </si>
  <si>
    <t>ANTON</t>
  </si>
  <si>
    <t>Antonio Moreno Taquería</t>
  </si>
  <si>
    <t>Antonio Moreno</t>
  </si>
  <si>
    <t>Mataderos  2312</t>
  </si>
  <si>
    <t>05023</t>
  </si>
  <si>
    <t>(5) 555-3932</t>
  </si>
  <si>
    <t>AROUT</t>
  </si>
  <si>
    <t>Around the Horn</t>
  </si>
  <si>
    <t>Thomas Hardy</t>
  </si>
  <si>
    <t>120 Hanover Sq.</t>
  </si>
  <si>
    <t>London</t>
  </si>
  <si>
    <t>WA1 1DP</t>
  </si>
  <si>
    <t>UK</t>
  </si>
  <si>
    <t>(171) 555-7788</t>
  </si>
  <si>
    <t>(171) 555-6750</t>
  </si>
  <si>
    <t>BERGS</t>
  </si>
  <si>
    <t>Berglunds snabbköp</t>
  </si>
  <si>
    <t>Christina Berglund</t>
  </si>
  <si>
    <t>Order Administrator</t>
  </si>
  <si>
    <t>Berguvsvägen  8</t>
  </si>
  <si>
    <t>Luleå</t>
  </si>
  <si>
    <t>S-958 22</t>
  </si>
  <si>
    <t>Sweden</t>
  </si>
  <si>
    <t>0921-12 34 65</t>
  </si>
  <si>
    <t>0921-12 34 67</t>
  </si>
  <si>
    <t>BLAUS</t>
  </si>
  <si>
    <t>Blauer See Delikatessen</t>
  </si>
  <si>
    <t>Hanna Moos</t>
  </si>
  <si>
    <t>Forsterstr. 57</t>
  </si>
  <si>
    <t>Mannheim</t>
  </si>
  <si>
    <t>68306</t>
  </si>
  <si>
    <t>0621-08460</t>
  </si>
  <si>
    <t>0621-08924</t>
  </si>
  <si>
    <t>BLONP</t>
  </si>
  <si>
    <t>Blondel père et fils</t>
  </si>
  <si>
    <t>Frédérique Citeaux</t>
  </si>
  <si>
    <t>Marketing Manager</t>
  </si>
  <si>
    <t>24, place Kléber</t>
  </si>
  <si>
    <t>Strasbourg</t>
  </si>
  <si>
    <t>67000</t>
  </si>
  <si>
    <t>France</t>
  </si>
  <si>
    <t>88.60.15.31</t>
  </si>
  <si>
    <t>88.60.15.32</t>
  </si>
  <si>
    <t>BOLID</t>
  </si>
  <si>
    <t>Bólido Comidas preparadas</t>
  </si>
  <si>
    <t>Martín Sommer</t>
  </si>
  <si>
    <t>C/ Araquil, 67</t>
  </si>
  <si>
    <t>Madrid</t>
  </si>
  <si>
    <t>28023</t>
  </si>
  <si>
    <t>Spain</t>
  </si>
  <si>
    <t>(91) 555 22 82</t>
  </si>
  <si>
    <t>(91) 555 91 99</t>
  </si>
  <si>
    <t>BONAP</t>
  </si>
  <si>
    <t>Bon app'</t>
  </si>
  <si>
    <t>Laurence Lebihan</t>
  </si>
  <si>
    <t>12, rue des Bouchers</t>
  </si>
  <si>
    <t>Marseille</t>
  </si>
  <si>
    <t>13008</t>
  </si>
  <si>
    <t>91.24.45.40</t>
  </si>
  <si>
    <t>91.24.45.41</t>
  </si>
  <si>
    <t>BOTTM</t>
  </si>
  <si>
    <t>Bottom-Dollar Markets</t>
  </si>
  <si>
    <t>Elizabeth Lincoln</t>
  </si>
  <si>
    <t>Accounting Manager</t>
  </si>
  <si>
    <t>23 Tsawassen Blvd.</t>
  </si>
  <si>
    <t>Tsawassen</t>
  </si>
  <si>
    <t>BC</t>
  </si>
  <si>
    <t>T2F 8M4</t>
  </si>
  <si>
    <t>Canada</t>
  </si>
  <si>
    <t>(604) 555-4729</t>
  </si>
  <si>
    <t>(604) 555-3745</t>
  </si>
  <si>
    <t>BSBEV</t>
  </si>
  <si>
    <t>B's Beverages</t>
  </si>
  <si>
    <t>Victoria Ashworth</t>
  </si>
  <si>
    <t>Fauntleroy Circus</t>
  </si>
  <si>
    <t>EC2 5NT</t>
  </si>
  <si>
    <t>(171) 555-1212</t>
  </si>
  <si>
    <t>CACTU</t>
  </si>
  <si>
    <t>Cactus Comidas para llevar</t>
  </si>
  <si>
    <t>Patricio Simpson</t>
  </si>
  <si>
    <t>Sales Agent</t>
  </si>
  <si>
    <t>Cerrito 333</t>
  </si>
  <si>
    <t>Buenos Aires</t>
  </si>
  <si>
    <t>1010</t>
  </si>
  <si>
    <t>Argentina</t>
  </si>
  <si>
    <t>(1) 135-5555</t>
  </si>
  <si>
    <t>(1) 135-4892</t>
  </si>
  <si>
    <t>CENTC</t>
  </si>
  <si>
    <t>Centro comercial Moctezuma</t>
  </si>
  <si>
    <t>Francisco Chang</t>
  </si>
  <si>
    <t>Sierras de Granada 9993</t>
  </si>
  <si>
    <t>05022</t>
  </si>
  <si>
    <t>(5) 555-3392</t>
  </si>
  <si>
    <t>(5) 555-7293</t>
  </si>
  <si>
    <t>CHOPS</t>
  </si>
  <si>
    <t>Chop-suey Chinese</t>
  </si>
  <si>
    <t>Yang Wang</t>
  </si>
  <si>
    <t>Hauptstr. 29</t>
  </si>
  <si>
    <t>Bern</t>
  </si>
  <si>
    <t>3012</t>
  </si>
  <si>
    <t>Switzerland</t>
  </si>
  <si>
    <t>0452-076545</t>
  </si>
  <si>
    <t>COMMI</t>
  </si>
  <si>
    <t>Comércio Mineiro</t>
  </si>
  <si>
    <t>Pedro Afonso</t>
  </si>
  <si>
    <t>Sales Associate</t>
  </si>
  <si>
    <t>Av. dos Lusíadas, 23</t>
  </si>
  <si>
    <t>São Paulo</t>
  </si>
  <si>
    <t>SP</t>
  </si>
  <si>
    <t>05432-043</t>
  </si>
  <si>
    <t>Brazil</t>
  </si>
  <si>
    <t>(11) 555-7647</t>
  </si>
  <si>
    <t>CONSH</t>
  </si>
  <si>
    <t>Consolidated Holdings</t>
  </si>
  <si>
    <t>Elizabeth Brown</t>
  </si>
  <si>
    <t xml:space="preserve">Berkeley Gardens_x000D_
12  Brewery </t>
  </si>
  <si>
    <t>WX1 6LT</t>
  </si>
  <si>
    <t>(171) 555-2282</t>
  </si>
  <si>
    <t>(171) 555-9199</t>
  </si>
  <si>
    <t>DRACD</t>
  </si>
  <si>
    <t>Drachenblut Delikatessen</t>
  </si>
  <si>
    <t>Sven Ottlieb</t>
  </si>
  <si>
    <t>Walserweg 21</t>
  </si>
  <si>
    <t>Aachen</t>
  </si>
  <si>
    <t>52066</t>
  </si>
  <si>
    <t>0241-039123</t>
  </si>
  <si>
    <t>0241-059428</t>
  </si>
  <si>
    <t>DUMON</t>
  </si>
  <si>
    <t>Du monde entier</t>
  </si>
  <si>
    <t>Janine Labrune</t>
  </si>
  <si>
    <t>67, rue des Cinquante Otages</t>
  </si>
  <si>
    <t>Nantes</t>
  </si>
  <si>
    <t>44000</t>
  </si>
  <si>
    <t>40.67.88.88</t>
  </si>
  <si>
    <t>40.67.89.89</t>
  </si>
  <si>
    <t>EASTC</t>
  </si>
  <si>
    <t>Eastern Connection</t>
  </si>
  <si>
    <t>Ann Devon</t>
  </si>
  <si>
    <t>35 King George</t>
  </si>
  <si>
    <t>WX3 6FW</t>
  </si>
  <si>
    <t>(171) 555-0297</t>
  </si>
  <si>
    <t>(171) 555-3373</t>
  </si>
  <si>
    <t>ERNSH</t>
  </si>
  <si>
    <t>Ernst Handel</t>
  </si>
  <si>
    <t>Roland Mendel</t>
  </si>
  <si>
    <t>Sales Manager</t>
  </si>
  <si>
    <t>Kirchgasse 6</t>
  </si>
  <si>
    <t>Graz</t>
  </si>
  <si>
    <t>8010</t>
  </si>
  <si>
    <t>Austria</t>
  </si>
  <si>
    <t>7675-3425</t>
  </si>
  <si>
    <t>7675-3426</t>
  </si>
  <si>
    <t>FAMIA</t>
  </si>
  <si>
    <t>Familia Arquibaldo</t>
  </si>
  <si>
    <t>Aria Cruz</t>
  </si>
  <si>
    <t>Marketing Assistant</t>
  </si>
  <si>
    <t>Rua Orós, 92</t>
  </si>
  <si>
    <t>05442-030</t>
  </si>
  <si>
    <t>(11) 555-9857</t>
  </si>
  <si>
    <t>FISSA</t>
  </si>
  <si>
    <t>FISSA Fabrica Inter. Salchichas S.A.</t>
  </si>
  <si>
    <t>Diego Roel</t>
  </si>
  <si>
    <t>C/ Moralzarzal, 86</t>
  </si>
  <si>
    <t>28034</t>
  </si>
  <si>
    <t>(91) 555 94 44</t>
  </si>
  <si>
    <t>(91) 555 55 93</t>
  </si>
  <si>
    <t>FOLIG</t>
  </si>
  <si>
    <t>Folies gourmandes</t>
  </si>
  <si>
    <t>Martine Rancé</t>
  </si>
  <si>
    <t>Assistant Sales Agent</t>
  </si>
  <si>
    <t>184, chaussée de Tournai</t>
  </si>
  <si>
    <t>Lille</t>
  </si>
  <si>
    <t>59000</t>
  </si>
  <si>
    <t>20.16.10.16</t>
  </si>
  <si>
    <t>20.16.10.17</t>
  </si>
  <si>
    <t>FOLKO</t>
  </si>
  <si>
    <t>Folk och fä HB</t>
  </si>
  <si>
    <t>Maria Larsson</t>
  </si>
  <si>
    <t>Åkergatan 24</t>
  </si>
  <si>
    <t>Bräcke</t>
  </si>
  <si>
    <t>S-844 67</t>
  </si>
  <si>
    <t>0695-34 67 21</t>
  </si>
  <si>
    <t>FRANK</t>
  </si>
  <si>
    <t>Frankenversand</t>
  </si>
  <si>
    <t>Peter Franken</t>
  </si>
  <si>
    <t>Berliner Platz 43</t>
  </si>
  <si>
    <t>München</t>
  </si>
  <si>
    <t>80805</t>
  </si>
  <si>
    <t>089-0877310</t>
  </si>
  <si>
    <t>089-0877451</t>
  </si>
  <si>
    <t>FRANR</t>
  </si>
  <si>
    <t>France restauration</t>
  </si>
  <si>
    <t>Carine Schmitt</t>
  </si>
  <si>
    <t>54, rue Royale</t>
  </si>
  <si>
    <t>40.32.21.21</t>
  </si>
  <si>
    <t>40.32.21.20</t>
  </si>
  <si>
    <t>FRANS</t>
  </si>
  <si>
    <t>Franchi S.p.A.</t>
  </si>
  <si>
    <t>Paolo Accorti</t>
  </si>
  <si>
    <t>Via Monte Bianco 34</t>
  </si>
  <si>
    <t>Torino</t>
  </si>
  <si>
    <t>10100</t>
  </si>
  <si>
    <t>Italy</t>
  </si>
  <si>
    <t>011-4988260</t>
  </si>
  <si>
    <t>011-4988261</t>
  </si>
  <si>
    <t>FURIB</t>
  </si>
  <si>
    <t>Furia Bacalhau e Frutos do Mar</t>
  </si>
  <si>
    <t xml:space="preserve">Lino Rodriguez </t>
  </si>
  <si>
    <t>Jardim das rosas n. 32</t>
  </si>
  <si>
    <t>Lisboa</t>
  </si>
  <si>
    <t>1675</t>
  </si>
  <si>
    <t>Portugal</t>
  </si>
  <si>
    <t>(1) 354-2534</t>
  </si>
  <si>
    <t>(1) 354-2535</t>
  </si>
  <si>
    <t>GALED</t>
  </si>
  <si>
    <t>Galería del gastrónomo</t>
  </si>
  <si>
    <t>Eduardo Saavedra</t>
  </si>
  <si>
    <t>Rambla de Cataluña, 23</t>
  </si>
  <si>
    <t>Barcelona</t>
  </si>
  <si>
    <t>08022</t>
  </si>
  <si>
    <t>(93) 203 4560</t>
  </si>
  <si>
    <t>(93) 203 4561</t>
  </si>
  <si>
    <t>GODOS</t>
  </si>
  <si>
    <t>Godos Cocina Típica</t>
  </si>
  <si>
    <t>José Pedro Freyre</t>
  </si>
  <si>
    <t>C/ Romero, 33</t>
  </si>
  <si>
    <t>Sevilla</t>
  </si>
  <si>
    <t>41101</t>
  </si>
  <si>
    <t>(95) 555 82 82</t>
  </si>
  <si>
    <t>GOURL</t>
  </si>
  <si>
    <t>Gourmet Lanchonetes</t>
  </si>
  <si>
    <t>André Fonseca</t>
  </si>
  <si>
    <t>Av. Brasil, 442</t>
  </si>
  <si>
    <t>Campinas</t>
  </si>
  <si>
    <t>04876-786</t>
  </si>
  <si>
    <t>(11) 555-9482</t>
  </si>
  <si>
    <t>GREAL</t>
  </si>
  <si>
    <t>Great Lakes Food Market</t>
  </si>
  <si>
    <t>Howard Snyder</t>
  </si>
  <si>
    <t>2732 Baker Blvd.</t>
  </si>
  <si>
    <t>Eugene</t>
  </si>
  <si>
    <t>OR</t>
  </si>
  <si>
    <t>97403</t>
  </si>
  <si>
    <t>USA</t>
  </si>
  <si>
    <t>(503) 555-7555</t>
  </si>
  <si>
    <t>GROSR</t>
  </si>
  <si>
    <t>GROSELLA-Restaurante</t>
  </si>
  <si>
    <t>Manuel Pereira</t>
  </si>
  <si>
    <t>5ª Ave. Los Palos Grandes</t>
  </si>
  <si>
    <t>Caracas</t>
  </si>
  <si>
    <t>DF</t>
  </si>
  <si>
    <t>1081</t>
  </si>
  <si>
    <t>Venezuela</t>
  </si>
  <si>
    <t>(2) 283-2951</t>
  </si>
  <si>
    <t>(2) 283-3397</t>
  </si>
  <si>
    <t>HANAR</t>
  </si>
  <si>
    <t>Hanari Carnes</t>
  </si>
  <si>
    <t>Mario Pontes</t>
  </si>
  <si>
    <t>Rua do Paço, 67</t>
  </si>
  <si>
    <t>Rio de Janeiro</t>
  </si>
  <si>
    <t>RJ</t>
  </si>
  <si>
    <t>05454-876</t>
  </si>
  <si>
    <t>(21) 555-0091</t>
  </si>
  <si>
    <t>(21) 555-8765</t>
  </si>
  <si>
    <t>HILAA</t>
  </si>
  <si>
    <t>HILARIÓN-Abastos</t>
  </si>
  <si>
    <t>Carlos Hernández</t>
  </si>
  <si>
    <t>Carrera 22 con Ave. Carlos Soublette #8-35</t>
  </si>
  <si>
    <t>San Cristóbal</t>
  </si>
  <si>
    <t>Táchira</t>
  </si>
  <si>
    <t>5022</t>
  </si>
  <si>
    <t>(5) 555-1340</t>
  </si>
  <si>
    <t>(5) 555-1948</t>
  </si>
  <si>
    <t>HUNGC</t>
  </si>
  <si>
    <t>Hungry Coyote Import Store</t>
  </si>
  <si>
    <t>Yoshi Latimer</t>
  </si>
  <si>
    <t>City Center Plaza_x000D_
516 Main St.</t>
  </si>
  <si>
    <t>Elgin</t>
  </si>
  <si>
    <t>97827</t>
  </si>
  <si>
    <t>(503) 555-6874</t>
  </si>
  <si>
    <t>(503) 555-2376</t>
  </si>
  <si>
    <t>HUNGO</t>
  </si>
  <si>
    <t>Hungry Owl All-Night Grocers</t>
  </si>
  <si>
    <t>Patricia McKenna</t>
  </si>
  <si>
    <t>8 Johnstown Road</t>
  </si>
  <si>
    <t>Cork</t>
  </si>
  <si>
    <t>Co. Cork</t>
  </si>
  <si>
    <t>Ireland</t>
  </si>
  <si>
    <t>2967 542</t>
  </si>
  <si>
    <t>2967 3333</t>
  </si>
  <si>
    <t>ISLAT</t>
  </si>
  <si>
    <t>Island Trading</t>
  </si>
  <si>
    <t>Helen Bennett</t>
  </si>
  <si>
    <t>Garden House_x000D_
Crowther Way</t>
  </si>
  <si>
    <t>Cowes</t>
  </si>
  <si>
    <t>Isle of Wight</t>
  </si>
  <si>
    <t>PO31 7PJ</t>
  </si>
  <si>
    <t>(198) 555-8888</t>
  </si>
  <si>
    <t>KOENE</t>
  </si>
  <si>
    <t>Königlich Essen</t>
  </si>
  <si>
    <t>Philip Cramer</t>
  </si>
  <si>
    <t>Maubelstr. 90</t>
  </si>
  <si>
    <t>Brandenburg</t>
  </si>
  <si>
    <t>14776</t>
  </si>
  <si>
    <t>0555-09876</t>
  </si>
  <si>
    <t>LACOR</t>
  </si>
  <si>
    <t>La corne d'abondance</t>
  </si>
  <si>
    <t>Daniel Tonini</t>
  </si>
  <si>
    <t>67, avenue de l'Europe</t>
  </si>
  <si>
    <t>Versailles</t>
  </si>
  <si>
    <t>78000</t>
  </si>
  <si>
    <t>30.59.84.10</t>
  </si>
  <si>
    <t>30.59.85.11</t>
  </si>
  <si>
    <t>LAMAI</t>
  </si>
  <si>
    <t>La maison d'Asie</t>
  </si>
  <si>
    <t>Annette Roulet</t>
  </si>
  <si>
    <t>1 rue Alsace-Lorraine</t>
  </si>
  <si>
    <t>Toulouse</t>
  </si>
  <si>
    <t>31000</t>
  </si>
  <si>
    <t>61.77.61.10</t>
  </si>
  <si>
    <t>61.77.61.11</t>
  </si>
  <si>
    <t>LAUGB</t>
  </si>
  <si>
    <t>Laughing Bacchus Wine Cellars</t>
  </si>
  <si>
    <t>Yoshi Tannamuri</t>
  </si>
  <si>
    <t>1900 Oak St.</t>
  </si>
  <si>
    <t>Vancouver</t>
  </si>
  <si>
    <t>V3F 2K1</t>
  </si>
  <si>
    <t>(604) 555-3392</t>
  </si>
  <si>
    <t>(604) 555-7293</t>
  </si>
  <si>
    <t>LAZYK</t>
  </si>
  <si>
    <t>Lazy K Kountry Store</t>
  </si>
  <si>
    <t>John Steel</t>
  </si>
  <si>
    <t>12 Orchestra Terrace</t>
  </si>
  <si>
    <t>Walla Walla</t>
  </si>
  <si>
    <t>WA</t>
  </si>
  <si>
    <t>99362</t>
  </si>
  <si>
    <t>(509) 555-7969</t>
  </si>
  <si>
    <t>(509) 555-6221</t>
  </si>
  <si>
    <t>LEHMS</t>
  </si>
  <si>
    <t>Lehmanns Marktstand</t>
  </si>
  <si>
    <t>Renate Messner</t>
  </si>
  <si>
    <t>Magazinweg 7</t>
  </si>
  <si>
    <t xml:space="preserve">Frankfurt a.M. </t>
  </si>
  <si>
    <t>60528</t>
  </si>
  <si>
    <t>069-0245984</t>
  </si>
  <si>
    <t>069-0245874</t>
  </si>
  <si>
    <t>LETSS</t>
  </si>
  <si>
    <t>Let's Stop N Shop</t>
  </si>
  <si>
    <t>Jaime Yorres</t>
  </si>
  <si>
    <t>87 Polk St._x000D_
Suite 5</t>
  </si>
  <si>
    <t>San Francisco</t>
  </si>
  <si>
    <t>CA</t>
  </si>
  <si>
    <t>94117</t>
  </si>
  <si>
    <t>(415) 555-5938</t>
  </si>
  <si>
    <t>LILAS</t>
  </si>
  <si>
    <t>LILA-Supermercado</t>
  </si>
  <si>
    <t>Carlos González</t>
  </si>
  <si>
    <t>Carrera 52 con Ave. Bolívar #65-98 Llano Largo</t>
  </si>
  <si>
    <t>Barquisimeto</t>
  </si>
  <si>
    <t>Lara</t>
  </si>
  <si>
    <t>3508</t>
  </si>
  <si>
    <t>(9) 331-6954</t>
  </si>
  <si>
    <t>(9) 331-7256</t>
  </si>
  <si>
    <t>LINOD</t>
  </si>
  <si>
    <t>LINO-Delicateses</t>
  </si>
  <si>
    <t>Felipe Izquierdo</t>
  </si>
  <si>
    <t>Ave. 5 de Mayo Porlamar</t>
  </si>
  <si>
    <t>I. de Margarita</t>
  </si>
  <si>
    <t>Nueva Esparta</t>
  </si>
  <si>
    <t>4980</t>
  </si>
  <si>
    <t>(8) 34-56-12</t>
  </si>
  <si>
    <t>(8) 34-93-93</t>
  </si>
  <si>
    <t>LONEP</t>
  </si>
  <si>
    <t>Lonesome Pine Restaurant</t>
  </si>
  <si>
    <t>Fran Wilson</t>
  </si>
  <si>
    <t>89 Chiaroscuro Rd.</t>
  </si>
  <si>
    <t>Portland</t>
  </si>
  <si>
    <t>97219</t>
  </si>
  <si>
    <t>(503) 555-9573</t>
  </si>
  <si>
    <t>(503) 555-9646</t>
  </si>
  <si>
    <t>MAGAA</t>
  </si>
  <si>
    <t>Magazzini Alimentari Riuniti</t>
  </si>
  <si>
    <t>Giovanni Rovelli</t>
  </si>
  <si>
    <t>Via Ludovico il Moro 22</t>
  </si>
  <si>
    <t>Bergamo</t>
  </si>
  <si>
    <t>24100</t>
  </si>
  <si>
    <t>035-640230</t>
  </si>
  <si>
    <t>035-640231</t>
  </si>
  <si>
    <t>MAISD</t>
  </si>
  <si>
    <t>Maison Dewey</t>
  </si>
  <si>
    <t>Catherine Dewey</t>
  </si>
  <si>
    <t>Rue Joseph-Bens 532</t>
  </si>
  <si>
    <t>Bruxelles</t>
  </si>
  <si>
    <t>B-1180</t>
  </si>
  <si>
    <t>Belgium</t>
  </si>
  <si>
    <t>(02) 201 24 67</t>
  </si>
  <si>
    <t>(02) 201 24 68</t>
  </si>
  <si>
    <t>MEREP</t>
  </si>
  <si>
    <t>Mère Paillarde</t>
  </si>
  <si>
    <t>Jean Fresnière</t>
  </si>
  <si>
    <t>43 rue St. Laurent</t>
  </si>
  <si>
    <t>Montréal</t>
  </si>
  <si>
    <t>Québec</t>
  </si>
  <si>
    <t>H1J 1C3</t>
  </si>
  <si>
    <t>(514) 555-8054</t>
  </si>
  <si>
    <t>(514) 555-8055</t>
  </si>
  <si>
    <t>MORGK</t>
  </si>
  <si>
    <t>Morgenstern Gesundkost</t>
  </si>
  <si>
    <t>Alexander Feuer</t>
  </si>
  <si>
    <t>Heerstr. 22</t>
  </si>
  <si>
    <t>Leipzig</t>
  </si>
  <si>
    <t>04179</t>
  </si>
  <si>
    <t>0342-023176</t>
  </si>
  <si>
    <t>NORTS</t>
  </si>
  <si>
    <t>North/South</t>
  </si>
  <si>
    <t>Simon Crowther</t>
  </si>
  <si>
    <t>South House_x000D_
300 Queensbridge</t>
  </si>
  <si>
    <t>SW7 1RZ</t>
  </si>
  <si>
    <t>(171) 555-7733</t>
  </si>
  <si>
    <t>(171) 555-2530</t>
  </si>
  <si>
    <t>OCEAN</t>
  </si>
  <si>
    <t>Océano Atlántico Ltda.</t>
  </si>
  <si>
    <t>Yvonne Moncada</t>
  </si>
  <si>
    <t>Ing. Gustavo Moncada 8585_x000D_
Piso 20-A</t>
  </si>
  <si>
    <t>(1) 135-5333</t>
  </si>
  <si>
    <t>(1) 135-5535</t>
  </si>
  <si>
    <t>OLDWO</t>
  </si>
  <si>
    <t>Old World Delicatessen</t>
  </si>
  <si>
    <t>Rene Phillips</t>
  </si>
  <si>
    <t>2743 Bering St.</t>
  </si>
  <si>
    <t>Anchorage</t>
  </si>
  <si>
    <t>AK</t>
  </si>
  <si>
    <t>99508</t>
  </si>
  <si>
    <t>(907) 555-7584</t>
  </si>
  <si>
    <t>(907) 555-2880</t>
  </si>
  <si>
    <t>OTTIK</t>
  </si>
  <si>
    <t>Ottilies Käseladen</t>
  </si>
  <si>
    <t>Henriette Pfalzheim</t>
  </si>
  <si>
    <t>Mehrheimerstr. 369</t>
  </si>
  <si>
    <t>Köln</t>
  </si>
  <si>
    <t>50739</t>
  </si>
  <si>
    <t>0221-0644327</t>
  </si>
  <si>
    <t>0221-0765721</t>
  </si>
  <si>
    <t>PARIS</t>
  </si>
  <si>
    <t>Paris spécialités</t>
  </si>
  <si>
    <t>Marie Bertrand</t>
  </si>
  <si>
    <t>265, boulevard Charonne</t>
  </si>
  <si>
    <t>Paris</t>
  </si>
  <si>
    <t>75012</t>
  </si>
  <si>
    <t>(1) 42.34.22.66</t>
  </si>
  <si>
    <t>(1) 42.34.22.77</t>
  </si>
  <si>
    <t>PERIC</t>
  </si>
  <si>
    <t>Pericles Comidas clásicas</t>
  </si>
  <si>
    <t>Guillermo Fernández</t>
  </si>
  <si>
    <t>Calle Dr. Jorge Cash 321</t>
  </si>
  <si>
    <t>05033</t>
  </si>
  <si>
    <t>(5) 552-3745</t>
  </si>
  <si>
    <t>(5) 545-3745</t>
  </si>
  <si>
    <t>PICCO</t>
  </si>
  <si>
    <t>Piccolo und mehr</t>
  </si>
  <si>
    <t>Georg Pipps</t>
  </si>
  <si>
    <t>Geislweg 14</t>
  </si>
  <si>
    <t>Salzburg</t>
  </si>
  <si>
    <t>5020</t>
  </si>
  <si>
    <t>6562-9722</t>
  </si>
  <si>
    <t>6562-9723</t>
  </si>
  <si>
    <t>PRINI</t>
  </si>
  <si>
    <t>Princesa Isabel Vinhos</t>
  </si>
  <si>
    <t>Isabel de Castro</t>
  </si>
  <si>
    <t>Estrada da saúde n. 58</t>
  </si>
  <si>
    <t>1756</t>
  </si>
  <si>
    <t>(1) 356-5634</t>
  </si>
  <si>
    <t>QUEDE</t>
  </si>
  <si>
    <t>Que Delícia</t>
  </si>
  <si>
    <t>Bernardo Batista</t>
  </si>
  <si>
    <t>Rua da Panificadora, 12</t>
  </si>
  <si>
    <t>02389-673</t>
  </si>
  <si>
    <t>(21) 555-4252</t>
  </si>
  <si>
    <t>(21) 555-4545</t>
  </si>
  <si>
    <t>QUEEN</t>
  </si>
  <si>
    <t>Queen Cozinha</t>
  </si>
  <si>
    <t>Lúcia Carvalho</t>
  </si>
  <si>
    <t>Alameda dos Canàrios, 891</t>
  </si>
  <si>
    <t>05487-020</t>
  </si>
  <si>
    <t>(11) 555-1189</t>
  </si>
  <si>
    <t>QUICK</t>
  </si>
  <si>
    <t>QUICK-Stop</t>
  </si>
  <si>
    <t>Horst Kloss</t>
  </si>
  <si>
    <t>Taucherstraße 10</t>
  </si>
  <si>
    <t>Cunewalde</t>
  </si>
  <si>
    <t>01307</t>
  </si>
  <si>
    <t>0372-035188</t>
  </si>
  <si>
    <t>RANCH</t>
  </si>
  <si>
    <t>Rancho grande</t>
  </si>
  <si>
    <t>Sergio Gutiérrez</t>
  </si>
  <si>
    <t>Av. del Libertador 900</t>
  </si>
  <si>
    <t>(1) 123-5555</t>
  </si>
  <si>
    <t>(1) 123-5556</t>
  </si>
  <si>
    <t>RATTC</t>
  </si>
  <si>
    <t>Rattlesnake Canyon Grocery</t>
  </si>
  <si>
    <t>Paula Wilson</t>
  </si>
  <si>
    <t>Assistant Sales Representative</t>
  </si>
  <si>
    <t>2817 Milton Dr.</t>
  </si>
  <si>
    <t>Albuquerque</t>
  </si>
  <si>
    <t>NM</t>
  </si>
  <si>
    <t>87110</t>
  </si>
  <si>
    <t>(505) 555-5939</t>
  </si>
  <si>
    <t>(505) 555-3620</t>
  </si>
  <si>
    <t>REGGC</t>
  </si>
  <si>
    <t>Reggiani Caseifici</t>
  </si>
  <si>
    <t>Maurizio Moroni</t>
  </si>
  <si>
    <t>Strada Provinciale 124</t>
  </si>
  <si>
    <t>Reggio Emilia</t>
  </si>
  <si>
    <t>42100</t>
  </si>
  <si>
    <t>0522-556721</t>
  </si>
  <si>
    <t>0522-556722</t>
  </si>
  <si>
    <t>RICAR</t>
  </si>
  <si>
    <t>Ricardo Adocicados</t>
  </si>
  <si>
    <t>Janete Limeira</t>
  </si>
  <si>
    <t>Av. Copacabana, 267</t>
  </si>
  <si>
    <t>02389-890</t>
  </si>
  <si>
    <t>(21) 555-3412</t>
  </si>
  <si>
    <t>RICSU</t>
  </si>
  <si>
    <t>Richter Supermarkt</t>
  </si>
  <si>
    <t>Michael Holz</t>
  </si>
  <si>
    <t>Grenzacherweg 237</t>
  </si>
  <si>
    <t>Genève</t>
  </si>
  <si>
    <t>1203</t>
  </si>
  <si>
    <t>0897-034214</t>
  </si>
  <si>
    <t>ROMEY</t>
  </si>
  <si>
    <t>Romero y tomillo</t>
  </si>
  <si>
    <t>Alejandra Camino</t>
  </si>
  <si>
    <t>Gran Vía, 1</t>
  </si>
  <si>
    <t>28001</t>
  </si>
  <si>
    <t>(91) 745 6200</t>
  </si>
  <si>
    <t>(91) 745 6210</t>
  </si>
  <si>
    <t>SANTG</t>
  </si>
  <si>
    <t>Santé Gourmet</t>
  </si>
  <si>
    <t>Jonas Bergulfsen</t>
  </si>
  <si>
    <t>Erling Skakkes gate 78</t>
  </si>
  <si>
    <t>Stavern</t>
  </si>
  <si>
    <t>4110</t>
  </si>
  <si>
    <t>Norway</t>
  </si>
  <si>
    <t>07-98 92 35</t>
  </si>
  <si>
    <t>07-98 92 47</t>
  </si>
  <si>
    <t>SAVEA</t>
  </si>
  <si>
    <t>Save-a-lot Markets</t>
  </si>
  <si>
    <t>Jose Pavarotti</t>
  </si>
  <si>
    <t>187 Suffolk Ln.</t>
  </si>
  <si>
    <t>Boise</t>
  </si>
  <si>
    <t>ID</t>
  </si>
  <si>
    <t>83720</t>
  </si>
  <si>
    <t>(208) 555-8097</t>
  </si>
  <si>
    <t>SEVES</t>
  </si>
  <si>
    <t>Seven Seas Imports</t>
  </si>
  <si>
    <t>Hari Kumar</t>
  </si>
  <si>
    <t>90 Wadhurst Rd.</t>
  </si>
  <si>
    <t>OX15 4NB</t>
  </si>
  <si>
    <t>(171) 555-1717</t>
  </si>
  <si>
    <t>(171) 555-5646</t>
  </si>
  <si>
    <t>SIMOB</t>
  </si>
  <si>
    <t>Simons bistro</t>
  </si>
  <si>
    <t>Jytte Petersen</t>
  </si>
  <si>
    <t>Vinbæltet 34</t>
  </si>
  <si>
    <t>København</t>
  </si>
  <si>
    <t>1734</t>
  </si>
  <si>
    <t>Denmark</t>
  </si>
  <si>
    <t>31 12 34 56</t>
  </si>
  <si>
    <t>31 13 35 57</t>
  </si>
  <si>
    <t>SPECD</t>
  </si>
  <si>
    <t>Spécialités du monde</t>
  </si>
  <si>
    <t>Dominique Perrier</t>
  </si>
  <si>
    <t>25, rue Lauriston</t>
  </si>
  <si>
    <t>75016</t>
  </si>
  <si>
    <t>(1) 47.55.60.10</t>
  </si>
  <si>
    <t>(1) 47.55.60.20</t>
  </si>
  <si>
    <t>SPLIR</t>
  </si>
  <si>
    <t>Split Rail Beer &amp; Ale</t>
  </si>
  <si>
    <t>Art Braunschweiger</t>
  </si>
  <si>
    <t>P.O. Box 555</t>
  </si>
  <si>
    <t>Lander</t>
  </si>
  <si>
    <t>WY</t>
  </si>
  <si>
    <t>82520</t>
  </si>
  <si>
    <t>(307) 555-4680</t>
  </si>
  <si>
    <t>(307) 555-6525</t>
  </si>
  <si>
    <t>SUPRD</t>
  </si>
  <si>
    <t>Suprêmes délices</t>
  </si>
  <si>
    <t>Pascale Cartrain</t>
  </si>
  <si>
    <t>Boulevard Tirou, 255</t>
  </si>
  <si>
    <t>Charleroi</t>
  </si>
  <si>
    <t>B-6000</t>
  </si>
  <si>
    <t>(071) 23 67 22 20</t>
  </si>
  <si>
    <t>(071) 23 67 22 21</t>
  </si>
  <si>
    <t>THEBI</t>
  </si>
  <si>
    <t>The Big Cheese</t>
  </si>
  <si>
    <t>Liz Nixon</t>
  </si>
  <si>
    <t>89 Jefferson Way_x000D_
Suite 2</t>
  </si>
  <si>
    <t>97201</t>
  </si>
  <si>
    <t>(503) 555-3612</t>
  </si>
  <si>
    <t>THECR</t>
  </si>
  <si>
    <t>The Cracker Box</t>
  </si>
  <si>
    <t>Liu Wong</t>
  </si>
  <si>
    <t>55 Grizzly Peak Rd.</t>
  </si>
  <si>
    <t>Butte</t>
  </si>
  <si>
    <t>MT</t>
  </si>
  <si>
    <t>59801</t>
  </si>
  <si>
    <t>(406) 555-5834</t>
  </si>
  <si>
    <t>(406) 555-8083</t>
  </si>
  <si>
    <t>TOMSP</t>
  </si>
  <si>
    <t>Toms Spezialitäten</t>
  </si>
  <si>
    <t>Karin Josephs</t>
  </si>
  <si>
    <t>Luisenstr. 48</t>
  </si>
  <si>
    <t>Münster</t>
  </si>
  <si>
    <t>44087</t>
  </si>
  <si>
    <t>0251-031259</t>
  </si>
  <si>
    <t>0251-035695</t>
  </si>
  <si>
    <t>TORTU</t>
  </si>
  <si>
    <t>Tortuga Restaurante</t>
  </si>
  <si>
    <t>Miguel Angel Paolino</t>
  </si>
  <si>
    <t>Avda. Azteca 123</t>
  </si>
  <si>
    <t>(5) 555-2933</t>
  </si>
  <si>
    <t>TRADH</t>
  </si>
  <si>
    <t>Tradição Hipermercados</t>
  </si>
  <si>
    <t>Anabela Domingues</t>
  </si>
  <si>
    <t>Av. Inês de Castro, 414</t>
  </si>
  <si>
    <t>05634-030</t>
  </si>
  <si>
    <t>(11) 555-2167</t>
  </si>
  <si>
    <t>(11) 555-2168</t>
  </si>
  <si>
    <t>TRAIH</t>
  </si>
  <si>
    <t>Trail's Head Gourmet Provisioners</t>
  </si>
  <si>
    <t>Helvetius Nagy</t>
  </si>
  <si>
    <t>722 DaVinci Blvd.</t>
  </si>
  <si>
    <t>Kirkland</t>
  </si>
  <si>
    <t>98034</t>
  </si>
  <si>
    <t>(206) 555-8257</t>
  </si>
  <si>
    <t>(206) 555-2174</t>
  </si>
  <si>
    <t>VAFFE</t>
  </si>
  <si>
    <t>Vaffeljernet</t>
  </si>
  <si>
    <t>Palle Ibsen</t>
  </si>
  <si>
    <t>Smagsløget 45</t>
  </si>
  <si>
    <t>Århus</t>
  </si>
  <si>
    <t>8200</t>
  </si>
  <si>
    <t>86 21 32 43</t>
  </si>
  <si>
    <t>86 22 33 44</t>
  </si>
  <si>
    <t>VICTE</t>
  </si>
  <si>
    <t>Victuailles en stock</t>
  </si>
  <si>
    <t>Mary Saveley</t>
  </si>
  <si>
    <t>2, rue du Commerce</t>
  </si>
  <si>
    <t>Lyon</t>
  </si>
  <si>
    <t>69004</t>
  </si>
  <si>
    <t>78.32.54.86</t>
  </si>
  <si>
    <t>78.32.54.87</t>
  </si>
  <si>
    <t>VINET</t>
  </si>
  <si>
    <t>Vins et alcools Chevalier</t>
  </si>
  <si>
    <t>Paul Henriot</t>
  </si>
  <si>
    <t>59 rue de l'Abbaye</t>
  </si>
  <si>
    <t>Reims</t>
  </si>
  <si>
    <t>51100</t>
  </si>
  <si>
    <t>26.47.15.10</t>
  </si>
  <si>
    <t>26.47.15.11</t>
  </si>
  <si>
    <t>WANDK</t>
  </si>
  <si>
    <t>Die Wandernde Kuh</t>
  </si>
  <si>
    <t>Rita Müller</t>
  </si>
  <si>
    <t>Adenauerallee 900</t>
  </si>
  <si>
    <t>Stuttgart</t>
  </si>
  <si>
    <t>70563</t>
  </si>
  <si>
    <t>0711-020361</t>
  </si>
  <si>
    <t>0711-035428</t>
  </si>
  <si>
    <t>WARTH</t>
  </si>
  <si>
    <t>Wartian Herkku</t>
  </si>
  <si>
    <t>Pirkko Koskitalo</t>
  </si>
  <si>
    <t>Torikatu 38</t>
  </si>
  <si>
    <t>Oulu</t>
  </si>
  <si>
    <t>90110</t>
  </si>
  <si>
    <t>Finland</t>
  </si>
  <si>
    <t>981-443655</t>
  </si>
  <si>
    <t>WELLI</t>
  </si>
  <si>
    <t>Wellington Importadora</t>
  </si>
  <si>
    <t>Paula Parente</t>
  </si>
  <si>
    <t>Rua do Mercado, 12</t>
  </si>
  <si>
    <t>Resende</t>
  </si>
  <si>
    <t>08737-363</t>
  </si>
  <si>
    <t>(14) 555-8122</t>
  </si>
  <si>
    <t>WHITC</t>
  </si>
  <si>
    <t>White Clover Markets</t>
  </si>
  <si>
    <t>Karl Jablonski</t>
  </si>
  <si>
    <t>305 - 14th Ave. S._x000D_
Suite 3B</t>
  </si>
  <si>
    <t>Seattle</t>
  </si>
  <si>
    <t>98128</t>
  </si>
  <si>
    <t>(206) 555-4112</t>
  </si>
  <si>
    <t>(206) 555-4115</t>
  </si>
  <si>
    <t>WILMK</t>
  </si>
  <si>
    <t>Wilman Kala</t>
  </si>
  <si>
    <t>Matti Karttunen</t>
  </si>
  <si>
    <t>Owner/Marketing Assistant</t>
  </si>
  <si>
    <t>Keskuskatu 45</t>
  </si>
  <si>
    <t>Helsinki</t>
  </si>
  <si>
    <t>21240</t>
  </si>
  <si>
    <t>90-224 8858</t>
  </si>
  <si>
    <t>WOLZA</t>
  </si>
  <si>
    <t>Wolski  Zajazd</t>
  </si>
  <si>
    <t>Zbyszek Piestrzeniewicz</t>
  </si>
  <si>
    <t>ul. Filtrowa 68</t>
  </si>
  <si>
    <t>Warszawa</t>
  </si>
  <si>
    <t>01-012</t>
  </si>
  <si>
    <t>Poland</t>
  </si>
  <si>
    <t>(26) 642-7012</t>
  </si>
  <si>
    <t>OrderID</t>
  </si>
  <si>
    <t>EmployeeID</t>
  </si>
  <si>
    <t>OrderDate</t>
  </si>
  <si>
    <t>RequiredDate</t>
  </si>
  <si>
    <t>ShippedDate</t>
  </si>
  <si>
    <t>ShipVia</t>
  </si>
  <si>
    <t>Freight</t>
  </si>
  <si>
    <t>ShipName</t>
  </si>
  <si>
    <t>ShipAddress</t>
  </si>
  <si>
    <t>ShipCity</t>
  </si>
  <si>
    <t>ShipRegion</t>
  </si>
  <si>
    <t>ShipPostalCode</t>
  </si>
  <si>
    <t>ShipCountry</t>
  </si>
  <si>
    <t>Hauptstr. 31</t>
  </si>
  <si>
    <t>Starenweg 5</t>
  </si>
  <si>
    <t>1204</t>
  </si>
  <si>
    <t>1029 - 12th Ave. S.</t>
  </si>
  <si>
    <t>98124</t>
  </si>
  <si>
    <t>Brook Farm_x000D_
Stratford St. Mary</t>
  </si>
  <si>
    <t>Colchester</t>
  </si>
  <si>
    <t>Essex</t>
  </si>
  <si>
    <t>CO7 6JX</t>
  </si>
  <si>
    <t>Galería del gastronómo</t>
  </si>
  <si>
    <t>8022</t>
  </si>
  <si>
    <t>Wolski Zajazd</t>
  </si>
  <si>
    <t>2319 Elm St.</t>
  </si>
  <si>
    <t>Row Labels</t>
  </si>
  <si>
    <t>Grand Total</t>
  </si>
  <si>
    <t>Average of Freight Status</t>
  </si>
  <si>
    <t>Average of Freight</t>
  </si>
  <si>
    <t>Column Labels</t>
  </si>
  <si>
    <t>(All)</t>
  </si>
  <si>
    <t>Count of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</si>
</sst>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dd\-mmm\-yy"/>
    <numFmt numFmtId="166" formatCode="_ [$₹-4009]\ * #,##0.00_ ;_ [$₹-4009]\ * \-#,##0.00_ ;_ [$₹-4009]\ * &quot;-&quot;??_ ;_ @_ "/>
    <numFmt numFmtId="167" formatCode="&quot;$&quot;#,##0.00"/>
  </numFmts>
  <fonts count="26" x14ac:knownFonts="1">
    <font>
      <sz val="10"/>
      <name val="Arial"/>
    </font>
    <font>
      <sz val="10"/>
      <name val="Arial"/>
      <family val="2"/>
    </font>
    <font>
      <b/>
      <sz val="10"/>
      <name val="Arial"/>
      <family val="2"/>
    </font>
    <font>
      <i/>
      <sz val="10"/>
      <name val="Arial"/>
      <family val="2"/>
    </font>
    <font>
      <b/>
      <sz val="10"/>
      <name val="Arial"/>
      <family val="2"/>
    </font>
    <font>
      <sz val="14"/>
      <name val="Arial"/>
      <family val="2"/>
    </font>
    <font>
      <b/>
      <sz val="12"/>
      <name val="Arial"/>
      <family val="2"/>
    </font>
    <font>
      <sz val="11"/>
      <color indexed="18"/>
      <name val="Arial"/>
      <family val="2"/>
    </font>
    <font>
      <sz val="10"/>
      <name val="MS Sans Serif"/>
    </font>
    <font>
      <b/>
      <u/>
      <sz val="10"/>
      <name val="Arial"/>
      <family val="2"/>
    </font>
    <font>
      <b/>
      <i/>
      <sz val="11"/>
      <color indexed="9"/>
      <name val="Arial"/>
      <family val="2"/>
    </font>
    <font>
      <b/>
      <sz val="10"/>
      <color indexed="8"/>
      <name val="Arial"/>
      <family val="2"/>
    </font>
    <font>
      <sz val="10"/>
      <color indexed="18"/>
      <name val="Arial"/>
      <family val="2"/>
    </font>
    <font>
      <b/>
      <u/>
      <sz val="13.5"/>
      <name val="MS Sans Serif"/>
      <family val="2"/>
    </font>
    <font>
      <b/>
      <u/>
      <sz val="12"/>
      <name val="MS Sans Serif"/>
    </font>
    <font>
      <sz val="10"/>
      <color indexed="8"/>
      <name val="Arial"/>
      <family val="2"/>
    </font>
    <font>
      <b/>
      <sz val="13.5"/>
      <name val="MS Sans Serif"/>
    </font>
    <font>
      <b/>
      <sz val="10"/>
      <color theme="0"/>
      <name val="Arial"/>
      <family val="2"/>
    </font>
    <font>
      <b/>
      <sz val="11"/>
      <color theme="0"/>
      <name val="Arial"/>
      <family val="2"/>
    </font>
    <font>
      <sz val="14"/>
      <color theme="0"/>
      <name val="Arial"/>
      <family val="2"/>
    </font>
    <font>
      <b/>
      <sz val="14"/>
      <color theme="0"/>
      <name val="Arial"/>
      <family val="2"/>
    </font>
    <font>
      <sz val="10"/>
      <color theme="0"/>
      <name val="Arial"/>
      <family val="2"/>
    </font>
    <font>
      <b/>
      <i/>
      <sz val="9"/>
      <color theme="0"/>
      <name val="Arial"/>
      <family val="2"/>
    </font>
    <font>
      <b/>
      <sz val="12"/>
      <color theme="0"/>
      <name val="MS Sans Serif"/>
    </font>
    <font>
      <b/>
      <sz val="12"/>
      <color theme="0"/>
      <name val="Arial"/>
      <family val="2"/>
    </font>
    <font>
      <sz val="11"/>
      <name val="Arial"/>
      <family val="2"/>
    </font>
  </fonts>
  <fills count="6">
    <fill>
      <patternFill patternType="none"/>
    </fill>
    <fill>
      <patternFill patternType="gray125"/>
    </fill>
    <fill>
      <patternFill patternType="solid">
        <fgColor indexed="23"/>
        <bgColor indexed="64"/>
      </patternFill>
    </fill>
    <fill>
      <patternFill patternType="solid">
        <fgColor indexed="22"/>
        <bgColor indexed="24"/>
      </patternFill>
    </fill>
    <fill>
      <patternFill patternType="solid">
        <fgColor theme="4" tint="-0.249977111117893"/>
        <bgColor indexed="64"/>
      </patternFill>
    </fill>
    <fill>
      <patternFill patternType="solid">
        <fgColor theme="4" tint="-0.249977111117893"/>
        <bgColor indexed="24"/>
      </patternFill>
    </fill>
  </fills>
  <borders count="2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style="thin">
        <color indexed="64"/>
      </left>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22"/>
      </left>
      <right style="thin">
        <color indexed="22"/>
      </right>
      <top/>
      <bottom style="thin">
        <color indexed="22"/>
      </bottom>
      <diagonal/>
    </border>
    <border>
      <left/>
      <right/>
      <top/>
      <bottom style="thick">
        <color indexed="64"/>
      </bottom>
      <diagonal/>
    </border>
    <border>
      <left style="thin">
        <color indexed="64"/>
      </left>
      <right style="thin">
        <color indexed="64"/>
      </right>
      <top style="thin">
        <color indexed="64"/>
      </top>
      <bottom style="medium">
        <color indexed="64"/>
      </bottom>
      <diagonal/>
    </border>
    <border>
      <left/>
      <right style="thin">
        <color indexed="64"/>
      </right>
      <top/>
      <bottom style="thin">
        <color indexed="64"/>
      </bottom>
      <diagonal/>
    </border>
  </borders>
  <cellStyleXfs count="6">
    <xf numFmtId="0" fontId="0" fillId="0" borderId="0"/>
    <xf numFmtId="44" fontId="1" fillId="0" borderId="0" applyFont="0" applyFill="0" applyBorder="0" applyAlignment="0" applyProtection="0"/>
    <xf numFmtId="8" fontId="8" fillId="0" borderId="0" applyFont="0" applyFill="0" applyBorder="0" applyAlignment="0" applyProtection="0"/>
    <xf numFmtId="0" fontId="8" fillId="0" borderId="0"/>
    <xf numFmtId="0" fontId="1" fillId="0" borderId="0"/>
    <xf numFmtId="0" fontId="15" fillId="0" borderId="0"/>
  </cellStyleXfs>
  <cellXfs count="85">
    <xf numFmtId="0" fontId="0" fillId="0" borderId="0" xfId="0"/>
    <xf numFmtId="0" fontId="2" fillId="0" borderId="0" xfId="0" applyFont="1" applyAlignment="1">
      <alignment horizontal="centerContinuous"/>
    </xf>
    <xf numFmtId="38" fontId="0" fillId="0" borderId="0" xfId="0" applyNumberFormat="1"/>
    <xf numFmtId="0" fontId="3" fillId="0" borderId="0" xfId="0" applyFont="1"/>
    <xf numFmtId="0" fontId="2" fillId="0" borderId="0" xfId="0" applyFont="1" applyAlignment="1">
      <alignment horizontal="left"/>
    </xf>
    <xf numFmtId="0" fontId="4" fillId="0" borderId="2" xfId="0" applyFont="1" applyBorder="1"/>
    <xf numFmtId="38" fontId="0" fillId="0" borderId="2" xfId="0" applyNumberFormat="1" applyBorder="1"/>
    <xf numFmtId="0" fontId="4" fillId="0" borderId="3" xfId="0" applyFont="1" applyBorder="1"/>
    <xf numFmtId="38" fontId="0" fillId="0" borderId="4" xfId="0" applyNumberFormat="1" applyBorder="1"/>
    <xf numFmtId="0" fontId="6" fillId="0" borderId="0" xfId="0" applyFont="1"/>
    <xf numFmtId="0" fontId="7" fillId="0" borderId="0" xfId="0" applyFont="1" applyAlignment="1">
      <alignment horizontal="center"/>
    </xf>
    <xf numFmtId="0" fontId="7" fillId="0" borderId="0" xfId="0" applyFont="1" applyAlignment="1">
      <alignment horizontal="left"/>
    </xf>
    <xf numFmtId="0" fontId="9" fillId="0" borderId="0" xfId="4" applyFont="1" applyAlignment="1">
      <alignment horizontal="center"/>
    </xf>
    <xf numFmtId="0" fontId="1" fillId="0" borderId="0" xfId="4"/>
    <xf numFmtId="0" fontId="8" fillId="0" borderId="0" xfId="3"/>
    <xf numFmtId="8" fontId="1" fillId="0" borderId="0" xfId="2" applyFont="1"/>
    <xf numFmtId="17" fontId="1" fillId="0" borderId="0" xfId="4" applyNumberFormat="1"/>
    <xf numFmtId="0" fontId="10" fillId="2" borderId="10" xfId="0" applyFont="1" applyFill="1" applyBorder="1" applyAlignment="1">
      <alignment horizontal="right"/>
    </xf>
    <xf numFmtId="164" fontId="0" fillId="0" borderId="0" xfId="0" applyNumberFormat="1"/>
    <xf numFmtId="14" fontId="0" fillId="0" borderId="0" xfId="0" applyNumberFormat="1"/>
    <xf numFmtId="0" fontId="5" fillId="0" borderId="0" xfId="0" applyFont="1"/>
    <xf numFmtId="0" fontId="5" fillId="0" borderId="0" xfId="0" applyFont="1" applyAlignment="1">
      <alignment horizontal="right"/>
    </xf>
    <xf numFmtId="0" fontId="0" fillId="0" borderId="0" xfId="0" applyAlignment="1">
      <alignment horizontal="right"/>
    </xf>
    <xf numFmtId="44" fontId="1" fillId="0" borderId="0" xfId="1"/>
    <xf numFmtId="44" fontId="11" fillId="3" borderId="20" xfId="0" applyNumberFormat="1" applyFont="1" applyFill="1" applyBorder="1" applyAlignment="1">
      <alignment horizontal="left"/>
    </xf>
    <xf numFmtId="43" fontId="11" fillId="3" borderId="0" xfId="0" applyNumberFormat="1" applyFont="1" applyFill="1" applyAlignment="1">
      <alignment horizontal="left"/>
    </xf>
    <xf numFmtId="43" fontId="11" fillId="3" borderId="20" xfId="0" applyNumberFormat="1" applyFont="1" applyFill="1" applyBorder="1" applyAlignment="1">
      <alignment horizontal="left"/>
    </xf>
    <xf numFmtId="43" fontId="11" fillId="3" borderId="22" xfId="0" applyNumberFormat="1" applyFont="1" applyFill="1" applyBorder="1" applyAlignment="1">
      <alignment horizontal="left"/>
    </xf>
    <xf numFmtId="43" fontId="11" fillId="3" borderId="18" xfId="0" applyNumberFormat="1" applyFont="1" applyFill="1" applyBorder="1" applyAlignment="1">
      <alignment horizontal="left"/>
    </xf>
    <xf numFmtId="0" fontId="13" fillId="0" borderId="0" xfId="3" applyFont="1" applyAlignment="1">
      <alignment horizontal="centerContinuous"/>
    </xf>
    <xf numFmtId="0" fontId="8" fillId="0" borderId="0" xfId="3" applyAlignment="1">
      <alignment horizontal="centerContinuous"/>
    </xf>
    <xf numFmtId="0" fontId="14" fillId="0" borderId="0" xfId="3" applyFont="1" applyAlignment="1">
      <alignment horizontal="center"/>
    </xf>
    <xf numFmtId="0" fontId="15" fillId="0" borderId="1" xfId="5" applyBorder="1" applyAlignment="1">
      <alignment horizontal="center" vertical="center" wrapText="1"/>
    </xf>
    <xf numFmtId="165" fontId="15" fillId="0" borderId="1" xfId="5" applyNumberFormat="1" applyBorder="1" applyAlignment="1">
      <alignment horizontal="center" vertical="center" wrapText="1"/>
    </xf>
    <xf numFmtId="0" fontId="0" fillId="0" borderId="0" xfId="0" applyAlignment="1">
      <alignment horizontal="center" vertical="center"/>
    </xf>
    <xf numFmtId="49" fontId="8" fillId="0" borderId="0" xfId="3" applyNumberFormat="1" applyAlignment="1">
      <alignment horizontal="center"/>
    </xf>
    <xf numFmtId="14" fontId="0" fillId="0" borderId="0" xfId="0" applyNumberFormat="1" applyAlignment="1">
      <alignment horizontal="center" vertical="center"/>
    </xf>
    <xf numFmtId="0" fontId="15" fillId="0" borderId="23" xfId="5" applyBorder="1" applyAlignment="1">
      <alignment horizontal="center" vertical="center" wrapText="1"/>
    </xf>
    <xf numFmtId="165" fontId="15" fillId="0" borderId="23" xfId="5" applyNumberFormat="1" applyBorder="1" applyAlignment="1">
      <alignment horizontal="center" vertical="center" wrapText="1"/>
    </xf>
    <xf numFmtId="0" fontId="18" fillId="4" borderId="18" xfId="5" applyFont="1" applyFill="1" applyBorder="1" applyAlignment="1">
      <alignment horizontal="center" vertical="center"/>
    </xf>
    <xf numFmtId="0" fontId="20" fillId="4" borderId="24" xfId="0" applyFont="1" applyFill="1" applyBorder="1" applyAlignment="1">
      <alignment horizontal="center"/>
    </xf>
    <xf numFmtId="0" fontId="21" fillId="4" borderId="18" xfId="0" applyFont="1" applyFill="1" applyBorder="1"/>
    <xf numFmtId="41" fontId="18" fillId="5" borderId="12" xfId="0" applyNumberFormat="1" applyFont="1" applyFill="1" applyBorder="1" applyAlignment="1">
      <alignment horizontal="left"/>
    </xf>
    <xf numFmtId="41" fontId="18" fillId="5" borderId="13" xfId="0" applyNumberFormat="1" applyFont="1" applyFill="1" applyBorder="1" applyAlignment="1">
      <alignment horizontal="left"/>
    </xf>
    <xf numFmtId="41" fontId="22" fillId="5" borderId="13" xfId="0" applyNumberFormat="1" applyFont="1" applyFill="1" applyBorder="1" applyAlignment="1">
      <alignment horizontal="right"/>
    </xf>
    <xf numFmtId="0" fontId="22" fillId="5" borderId="14" xfId="0" applyFont="1" applyFill="1" applyBorder="1" applyAlignment="1">
      <alignment horizontal="right"/>
    </xf>
    <xf numFmtId="0" fontId="23" fillId="4" borderId="18" xfId="3" applyFont="1" applyFill="1" applyBorder="1" applyAlignment="1">
      <alignment horizontal="center"/>
    </xf>
    <xf numFmtId="0" fontId="24" fillId="4" borderId="25" xfId="0" applyFont="1" applyFill="1" applyBorder="1" applyAlignment="1">
      <alignment horizontal="center"/>
    </xf>
    <xf numFmtId="0" fontId="17" fillId="4" borderId="18" xfId="4" applyFont="1" applyFill="1" applyBorder="1" applyAlignment="1">
      <alignment horizontal="center"/>
    </xf>
    <xf numFmtId="0" fontId="18" fillId="4" borderId="8" xfId="0" applyFont="1" applyFill="1" applyBorder="1" applyAlignment="1">
      <alignment horizontal="center"/>
    </xf>
    <xf numFmtId="0" fontId="18" fillId="4" borderId="9" xfId="0" applyFont="1" applyFill="1" applyBorder="1" applyAlignment="1">
      <alignment horizontal="center"/>
    </xf>
    <xf numFmtId="0" fontId="18" fillId="4" borderId="15" xfId="0" applyFont="1" applyFill="1" applyBorder="1" applyAlignment="1">
      <alignment horizontal="center"/>
    </xf>
    <xf numFmtId="38" fontId="0" fillId="0" borderId="26" xfId="0" applyNumberFormat="1" applyBorder="1"/>
    <xf numFmtId="0" fontId="17" fillId="4" borderId="25" xfId="0" applyFont="1" applyFill="1" applyBorder="1"/>
    <xf numFmtId="0" fontId="4" fillId="0" borderId="11" xfId="0" applyFont="1" applyBorder="1"/>
    <xf numFmtId="0" fontId="17" fillId="4" borderId="25" xfId="0" applyFont="1" applyFill="1" applyBorder="1" applyAlignment="1">
      <alignment horizontal="center"/>
    </xf>
    <xf numFmtId="0" fontId="4" fillId="0" borderId="7" xfId="0" applyFont="1" applyBorder="1"/>
    <xf numFmtId="38" fontId="0" fillId="0" borderId="7" xfId="0" applyNumberFormat="1" applyBorder="1"/>
    <xf numFmtId="0" fontId="17" fillId="4" borderId="2" xfId="0" applyFont="1" applyFill="1" applyBorder="1"/>
    <xf numFmtId="166" fontId="7" fillId="0" borderId="0" xfId="0" applyNumberFormat="1" applyFont="1"/>
    <xf numFmtId="166" fontId="1" fillId="0" borderId="0" xfId="2" applyNumberFormat="1" applyFont="1" applyAlignment="1">
      <alignment horizontal="right"/>
    </xf>
    <xf numFmtId="166" fontId="0" fillId="0" borderId="16" xfId="1" applyNumberFormat="1" applyFont="1" applyBorder="1" applyAlignment="1">
      <alignment horizontal="center"/>
    </xf>
    <xf numFmtId="166" fontId="0" fillId="0" borderId="5" xfId="1" applyNumberFormat="1" applyFont="1" applyBorder="1" applyAlignment="1">
      <alignment horizontal="center"/>
    </xf>
    <xf numFmtId="166" fontId="0" fillId="0" borderId="5" xfId="0" applyNumberFormat="1" applyBorder="1"/>
    <xf numFmtId="166" fontId="0" fillId="0" borderId="17" xfId="1" applyNumberFormat="1" applyFont="1" applyBorder="1" applyAlignment="1">
      <alignment horizontal="center"/>
    </xf>
    <xf numFmtId="166" fontId="0" fillId="0" borderId="6" xfId="1" applyNumberFormat="1" applyFont="1" applyBorder="1" applyAlignment="1">
      <alignment horizontal="center"/>
    </xf>
    <xf numFmtId="166" fontId="0" fillId="0" borderId="6" xfId="0" applyNumberFormat="1" applyBorder="1"/>
    <xf numFmtId="166" fontId="0" fillId="0" borderId="11" xfId="1" applyNumberFormat="1" applyFont="1" applyBorder="1" applyAlignment="1">
      <alignment horizontal="center"/>
    </xf>
    <xf numFmtId="166" fontId="0" fillId="0" borderId="7" xfId="1" applyNumberFormat="1" applyFont="1" applyBorder="1" applyAlignment="1">
      <alignment horizontal="center"/>
    </xf>
    <xf numFmtId="166" fontId="0" fillId="0" borderId="7" xfId="0" applyNumberFormat="1" applyBorder="1"/>
    <xf numFmtId="166" fontId="1" fillId="0" borderId="0" xfId="1" applyNumberFormat="1" applyAlignment="1">
      <alignment horizontal="right"/>
    </xf>
    <xf numFmtId="166" fontId="12" fillId="3" borderId="0" xfId="1" applyNumberFormat="1" applyFont="1" applyFill="1" applyBorder="1" applyAlignment="1"/>
    <xf numFmtId="166" fontId="12" fillId="3" borderId="21" xfId="1" applyNumberFormat="1" applyFont="1" applyFill="1" applyBorder="1" applyAlignment="1"/>
    <xf numFmtId="166" fontId="12" fillId="3" borderId="18" xfId="1" applyNumberFormat="1" applyFont="1" applyFill="1" applyBorder="1" applyAlignment="1"/>
    <xf numFmtId="166" fontId="12" fillId="3" borderId="19" xfId="1" applyNumberFormat="1" applyFont="1" applyFill="1" applyBorder="1" applyAlignment="1"/>
    <xf numFmtId="166" fontId="8" fillId="0" borderId="0" xfId="2" applyNumberFormat="1"/>
    <xf numFmtId="0" fontId="0" fillId="0" borderId="0" xfId="0" pivotButton="1"/>
    <xf numFmtId="0" fontId="0" fillId="0" borderId="0" xfId="0" applyAlignment="1">
      <alignment horizontal="left"/>
    </xf>
    <xf numFmtId="0" fontId="25" fillId="0" borderId="0" xfId="0" applyFont="1" applyAlignment="1">
      <alignment horizontal="center"/>
    </xf>
    <xf numFmtId="167" fontId="0" fillId="0" borderId="0" xfId="0" applyNumberFormat="1"/>
    <xf numFmtId="0" fontId="19" fillId="4" borderId="22" xfId="0" applyFont="1" applyFill="1" applyBorder="1" applyAlignment="1">
      <alignment horizontal="center"/>
    </xf>
    <xf numFmtId="0" fontId="19" fillId="4" borderId="18" xfId="0" applyFont="1" applyFill="1" applyBorder="1" applyAlignment="1">
      <alignment horizontal="center"/>
    </xf>
    <xf numFmtId="0" fontId="16" fillId="0" borderId="0" xfId="3" applyFont="1" applyAlignment="1">
      <alignment horizontal="center"/>
    </xf>
    <xf numFmtId="0" fontId="13" fillId="0" borderId="0" xfId="3" applyFont="1" applyAlignment="1">
      <alignment horizontal="center"/>
    </xf>
    <xf numFmtId="0" fontId="0" fillId="0" borderId="0" xfId="0" applyNumberFormat="1"/>
  </cellXfs>
  <cellStyles count="6">
    <cellStyle name="Currency" xfId="1" builtinId="4"/>
    <cellStyle name="Currency_EXCEL3-2" xfId="2" xr:uid="{00000000-0005-0000-0000-000001000000}"/>
    <cellStyle name="Normal" xfId="0" builtinId="0"/>
    <cellStyle name="Normal_EXCEL3-2" xfId="3" xr:uid="{00000000-0005-0000-0000-000003000000}"/>
    <cellStyle name="Normal_Sheet1" xfId="4" xr:uid="{00000000-0005-0000-0000-000004000000}"/>
    <cellStyle name="Normal_Sheet1_1" xfId="5" xr:uid="{00000000-0005-0000-0000-000005000000}"/>
  </cellStyles>
  <dxfs count="8">
    <dxf>
      <numFmt numFmtId="19" formatCode="m/d/yyyy"/>
    </dxf>
    <dxf>
      <numFmt numFmtId="19" formatCode="m/d/yyyy"/>
    </dxf>
    <dxf>
      <numFmt numFmtId="19" formatCode="m/d/yyyy"/>
    </dxf>
    <dxf>
      <numFmt numFmtId="167" formatCode="&quot;$&quot;#,##0.00"/>
    </dxf>
    <dxf>
      <alignment horizontal="center"/>
    </dxf>
    <dxf>
      <alignment horizontal="center"/>
    </dxf>
    <dxf>
      <font>
        <sz val="11"/>
      </font>
    </dxf>
    <dxf>
      <font>
        <sz val="1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worksheet" Target="worksheets/sheet10.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[Excel102Exercises.xlsx]Pivot!PivotTable3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Bishop</c:v>
                </c:pt>
              </c:strCache>
            </c:strRef>
          </c:tx>
          <c:spPr>
            <a:solidFill>
              <a:schemeClr val="accent1"/>
            </a:solidFill>
            <a:ln>
              <a:noFill/>
            </a:ln>
            <a:effectLst/>
          </c:spPr>
          <c:invertIfNegative val="0"/>
          <c:cat>
            <c:strRef>
              <c:f>Pivot!$A$5:$A$9</c:f>
              <c:strCache>
                <c:ptCount val="4"/>
                <c:pt idx="0">
                  <c:v>Frozen Yogurt</c:v>
                </c:pt>
                <c:pt idx="1">
                  <c:v>Ice Cream</c:v>
                </c:pt>
                <c:pt idx="2">
                  <c:v>Popsicles</c:v>
                </c:pt>
                <c:pt idx="3">
                  <c:v>Tasty Treats</c:v>
                </c:pt>
              </c:strCache>
            </c:strRef>
          </c:cat>
          <c:val>
            <c:numRef>
              <c:f>Pivot!$B$5:$B$9</c:f>
              <c:numCache>
                <c:formatCode>General</c:formatCode>
                <c:ptCount val="4"/>
                <c:pt idx="0">
                  <c:v>18</c:v>
                </c:pt>
                <c:pt idx="1">
                  <c:v>42</c:v>
                </c:pt>
                <c:pt idx="2">
                  <c:v>18</c:v>
                </c:pt>
                <c:pt idx="3">
                  <c:v>12</c:v>
                </c:pt>
              </c:numCache>
            </c:numRef>
          </c:val>
          <c:extLst>
            <c:ext xmlns:c16="http://schemas.microsoft.com/office/drawing/2014/chart" uri="{C3380CC4-5D6E-409C-BE32-E72D297353CC}">
              <c16:uniqueId val="{00000000-ADFD-413D-B23C-EA6137F9B1B4}"/>
            </c:ext>
          </c:extLst>
        </c:ser>
        <c:ser>
          <c:idx val="1"/>
          <c:order val="1"/>
          <c:tx>
            <c:strRef>
              <c:f>Pivot!$C$3:$C$4</c:f>
              <c:strCache>
                <c:ptCount val="1"/>
                <c:pt idx="0">
                  <c:v>Lee</c:v>
                </c:pt>
              </c:strCache>
            </c:strRef>
          </c:tx>
          <c:spPr>
            <a:solidFill>
              <a:schemeClr val="accent2"/>
            </a:solidFill>
            <a:ln>
              <a:noFill/>
            </a:ln>
            <a:effectLst/>
          </c:spPr>
          <c:invertIfNegative val="0"/>
          <c:cat>
            <c:strRef>
              <c:f>Pivot!$A$5:$A$9</c:f>
              <c:strCache>
                <c:ptCount val="4"/>
                <c:pt idx="0">
                  <c:v>Frozen Yogurt</c:v>
                </c:pt>
                <c:pt idx="1">
                  <c:v>Ice Cream</c:v>
                </c:pt>
                <c:pt idx="2">
                  <c:v>Popsicles</c:v>
                </c:pt>
                <c:pt idx="3">
                  <c:v>Tasty Treats</c:v>
                </c:pt>
              </c:strCache>
            </c:strRef>
          </c:cat>
          <c:val>
            <c:numRef>
              <c:f>Pivot!$C$5:$C$9</c:f>
              <c:numCache>
                <c:formatCode>General</c:formatCode>
                <c:ptCount val="4"/>
                <c:pt idx="0">
                  <c:v>24</c:v>
                </c:pt>
                <c:pt idx="1">
                  <c:v>36</c:v>
                </c:pt>
                <c:pt idx="2">
                  <c:v>12</c:v>
                </c:pt>
                <c:pt idx="3">
                  <c:v>24</c:v>
                </c:pt>
              </c:numCache>
            </c:numRef>
          </c:val>
          <c:extLst>
            <c:ext xmlns:c16="http://schemas.microsoft.com/office/drawing/2014/chart" uri="{C3380CC4-5D6E-409C-BE32-E72D297353CC}">
              <c16:uniqueId val="{0000000B-ADFD-413D-B23C-EA6137F9B1B4}"/>
            </c:ext>
          </c:extLst>
        </c:ser>
        <c:ser>
          <c:idx val="2"/>
          <c:order val="2"/>
          <c:tx>
            <c:strRef>
              <c:f>Pivot!$D$3:$D$4</c:f>
              <c:strCache>
                <c:ptCount val="1"/>
                <c:pt idx="0">
                  <c:v>Parker</c:v>
                </c:pt>
              </c:strCache>
            </c:strRef>
          </c:tx>
          <c:spPr>
            <a:solidFill>
              <a:schemeClr val="accent3"/>
            </a:solidFill>
            <a:ln>
              <a:noFill/>
            </a:ln>
            <a:effectLst/>
          </c:spPr>
          <c:invertIfNegative val="0"/>
          <c:cat>
            <c:strRef>
              <c:f>Pivot!$A$5:$A$9</c:f>
              <c:strCache>
                <c:ptCount val="4"/>
                <c:pt idx="0">
                  <c:v>Frozen Yogurt</c:v>
                </c:pt>
                <c:pt idx="1">
                  <c:v>Ice Cream</c:v>
                </c:pt>
                <c:pt idx="2">
                  <c:v>Popsicles</c:v>
                </c:pt>
                <c:pt idx="3">
                  <c:v>Tasty Treats</c:v>
                </c:pt>
              </c:strCache>
            </c:strRef>
          </c:cat>
          <c:val>
            <c:numRef>
              <c:f>Pivot!$D$5:$D$9</c:f>
              <c:numCache>
                <c:formatCode>General</c:formatCode>
                <c:ptCount val="4"/>
                <c:pt idx="0">
                  <c:v>24</c:v>
                </c:pt>
                <c:pt idx="1">
                  <c:v>36</c:v>
                </c:pt>
                <c:pt idx="2">
                  <c:v>12</c:v>
                </c:pt>
                <c:pt idx="3">
                  <c:v>30</c:v>
                </c:pt>
              </c:numCache>
            </c:numRef>
          </c:val>
          <c:extLst>
            <c:ext xmlns:c16="http://schemas.microsoft.com/office/drawing/2014/chart" uri="{C3380CC4-5D6E-409C-BE32-E72D297353CC}">
              <c16:uniqueId val="{0000000C-ADFD-413D-B23C-EA6137F9B1B4}"/>
            </c:ext>
          </c:extLst>
        </c:ser>
        <c:ser>
          <c:idx val="3"/>
          <c:order val="3"/>
          <c:tx>
            <c:strRef>
              <c:f>Pivot!$E$3:$E$4</c:f>
              <c:strCache>
                <c:ptCount val="1"/>
                <c:pt idx="0">
                  <c:v>Pullen</c:v>
                </c:pt>
              </c:strCache>
            </c:strRef>
          </c:tx>
          <c:spPr>
            <a:solidFill>
              <a:schemeClr val="accent4"/>
            </a:solidFill>
            <a:ln>
              <a:noFill/>
            </a:ln>
            <a:effectLst/>
          </c:spPr>
          <c:invertIfNegative val="0"/>
          <c:cat>
            <c:strRef>
              <c:f>Pivot!$A$5:$A$9</c:f>
              <c:strCache>
                <c:ptCount val="4"/>
                <c:pt idx="0">
                  <c:v>Frozen Yogurt</c:v>
                </c:pt>
                <c:pt idx="1">
                  <c:v>Ice Cream</c:v>
                </c:pt>
                <c:pt idx="2">
                  <c:v>Popsicles</c:v>
                </c:pt>
                <c:pt idx="3">
                  <c:v>Tasty Treats</c:v>
                </c:pt>
              </c:strCache>
            </c:strRef>
          </c:cat>
          <c:val>
            <c:numRef>
              <c:f>Pivot!$E$5:$E$9</c:f>
              <c:numCache>
                <c:formatCode>General</c:formatCode>
                <c:ptCount val="4"/>
                <c:pt idx="0">
                  <c:v>18</c:v>
                </c:pt>
                <c:pt idx="1">
                  <c:v>30</c:v>
                </c:pt>
                <c:pt idx="2">
                  <c:v>18</c:v>
                </c:pt>
                <c:pt idx="3">
                  <c:v>18</c:v>
                </c:pt>
              </c:numCache>
            </c:numRef>
          </c:val>
          <c:extLst>
            <c:ext xmlns:c16="http://schemas.microsoft.com/office/drawing/2014/chart" uri="{C3380CC4-5D6E-409C-BE32-E72D297353CC}">
              <c16:uniqueId val="{0000000D-ADFD-413D-B23C-EA6137F9B1B4}"/>
            </c:ext>
          </c:extLst>
        </c:ser>
        <c:ser>
          <c:idx val="4"/>
          <c:order val="4"/>
          <c:tx>
            <c:strRef>
              <c:f>Pivot!$F$3:$F$4</c:f>
              <c:strCache>
                <c:ptCount val="1"/>
                <c:pt idx="0">
                  <c:v>Watson</c:v>
                </c:pt>
              </c:strCache>
            </c:strRef>
          </c:tx>
          <c:spPr>
            <a:solidFill>
              <a:schemeClr val="accent5"/>
            </a:solidFill>
            <a:ln>
              <a:noFill/>
            </a:ln>
            <a:effectLst/>
          </c:spPr>
          <c:invertIfNegative val="0"/>
          <c:cat>
            <c:strRef>
              <c:f>Pivot!$A$5:$A$9</c:f>
              <c:strCache>
                <c:ptCount val="4"/>
                <c:pt idx="0">
                  <c:v>Frozen Yogurt</c:v>
                </c:pt>
                <c:pt idx="1">
                  <c:v>Ice Cream</c:v>
                </c:pt>
                <c:pt idx="2">
                  <c:v>Popsicles</c:v>
                </c:pt>
                <c:pt idx="3">
                  <c:v>Tasty Treats</c:v>
                </c:pt>
              </c:strCache>
            </c:strRef>
          </c:cat>
          <c:val>
            <c:numRef>
              <c:f>Pivot!$F$5:$F$9</c:f>
              <c:numCache>
                <c:formatCode>General</c:formatCode>
                <c:ptCount val="4"/>
                <c:pt idx="0">
                  <c:v>12</c:v>
                </c:pt>
                <c:pt idx="1">
                  <c:v>30</c:v>
                </c:pt>
                <c:pt idx="2">
                  <c:v>12</c:v>
                </c:pt>
                <c:pt idx="3">
                  <c:v>18</c:v>
                </c:pt>
              </c:numCache>
            </c:numRef>
          </c:val>
          <c:extLst>
            <c:ext xmlns:c16="http://schemas.microsoft.com/office/drawing/2014/chart" uri="{C3380CC4-5D6E-409C-BE32-E72D297353CC}">
              <c16:uniqueId val="{0000000E-ADFD-413D-B23C-EA6137F9B1B4}"/>
            </c:ext>
          </c:extLst>
        </c:ser>
        <c:dLbls>
          <c:showLegendKey val="0"/>
          <c:showVal val="0"/>
          <c:showCatName val="0"/>
          <c:showSerName val="0"/>
          <c:showPercent val="0"/>
          <c:showBubbleSize val="0"/>
        </c:dLbls>
        <c:gapWidth val="219"/>
        <c:overlap val="-27"/>
        <c:axId val="1839162624"/>
        <c:axId val="1856267232"/>
      </c:barChart>
      <c:catAx>
        <c:axId val="183916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267232"/>
        <c:crosses val="autoZero"/>
        <c:auto val="1"/>
        <c:lblAlgn val="ctr"/>
        <c:lblOffset val="100"/>
        <c:noMultiLvlLbl val="0"/>
      </c:catAx>
      <c:valAx>
        <c:axId val="185626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162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38099</xdr:colOff>
      <xdr:row>10</xdr:row>
      <xdr:rowOff>95251</xdr:rowOff>
    </xdr:from>
    <xdr:to>
      <xdr:col>7</xdr:col>
      <xdr:colOff>9525</xdr:colOff>
      <xdr:row>24</xdr:row>
      <xdr:rowOff>152401</xdr:rowOff>
    </xdr:to>
    <xdr:graphicFrame macro="">
      <xdr:nvGraphicFramePr>
        <xdr:cNvPr id="2" name="Chart 1">
          <a:extLst>
            <a:ext uri="{FF2B5EF4-FFF2-40B4-BE49-F238E27FC236}">
              <a16:creationId xmlns:a16="http://schemas.microsoft.com/office/drawing/2014/main" id="{FD826CE8-51A7-773A-098A-AC3040646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333375</xdr:colOff>
      <xdr:row>0</xdr:row>
      <xdr:rowOff>114300</xdr:rowOff>
    </xdr:from>
    <xdr:to>
      <xdr:col>9</xdr:col>
      <xdr:colOff>371475</xdr:colOff>
      <xdr:row>8</xdr:row>
      <xdr:rowOff>57150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20FC85F5-4215-518A-33EC-E3099F5A66E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905375" y="114300"/>
              <a:ext cx="1828800"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342900</xdr:colOff>
      <xdr:row>9</xdr:row>
      <xdr:rowOff>57150</xdr:rowOff>
    </xdr:from>
    <xdr:to>
      <xdr:col>9</xdr:col>
      <xdr:colOff>381000</xdr:colOff>
      <xdr:row>18</xdr:row>
      <xdr:rowOff>123825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E7786C2-9F59-AAC0-6568-F59B1459F82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14900" y="151447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Thakur" refreshedDate="45169.556416435182" createdVersion="5" refreshedVersion="8" minRefreshableVersion="3" recordCount="0" supportSubquery="1" supportAdvancedDrill="1" xr:uid="{4CB8FFED-ACF8-478B-BAB5-B080C39C73F4}">
  <cacheSource type="external" connectionId="1"/>
  <cacheFields count="3">
    <cacheField name="[CustomerInfo].[Country].[Country]" caption="Country" numFmtId="0" hierarchy="8" level="1">
      <sharedItems count="21">
        <s v="Argentina"/>
        <s v="Austria"/>
        <s v="Belgium"/>
        <s v="Brazil"/>
        <s v="Canada"/>
        <s v="Denmark"/>
        <s v="Finland"/>
        <s v="France"/>
        <s v="Germany"/>
        <s v="Ireland"/>
        <s v="Italy"/>
        <s v="Mexico"/>
        <s v="Norway"/>
        <s v="Poland"/>
        <s v="Portugal"/>
        <s v="Spain"/>
        <s v="Sweden"/>
        <s v="Switzerland"/>
        <s v="UK"/>
        <s v="USA"/>
        <s v="Venezuela"/>
      </sharedItems>
    </cacheField>
    <cacheField name="[Measures].[_Average of Freight Status]" caption="_Average of Freight Status" numFmtId="0" hierarchy="31" level="32767"/>
    <cacheField name="[Measures].[Average of Freight 2]" caption="Average of Freight 2" numFmtId="0" hierarchy="33" level="32767"/>
  </cacheFields>
  <cacheHierarchies count="34">
    <cacheHierarchy uniqueName="[CustomerInfo].[CustomerID]" caption="CustomerID" attribute="1" defaultMemberUniqueName="[CustomerInfo].[CustomerID].[All]" allUniqueName="[CustomerInfo].[CustomerID].[All]" dimensionUniqueName="[CustomerInfo]" displayFolder="" count="0" memberValueDatatype="130" unbalanced="0"/>
    <cacheHierarchy uniqueName="[CustomerInfo].[CompanyName]" caption="CompanyName" attribute="1" defaultMemberUniqueName="[CustomerInfo].[CompanyName].[All]" allUniqueName="[CustomerInfo].[CompanyName].[All]" dimensionUniqueName="[CustomerInfo]" displayFolder="" count="0" memberValueDatatype="130" unbalanced="0"/>
    <cacheHierarchy uniqueName="[CustomerInfo].[ContactName]" caption="ContactName" attribute="1" defaultMemberUniqueName="[CustomerInfo].[ContactName].[All]" allUniqueName="[CustomerInfo].[ContactName].[All]" dimensionUniqueName="[CustomerInfo]" displayFolder="" count="0" memberValueDatatype="130" unbalanced="0"/>
    <cacheHierarchy uniqueName="[CustomerInfo].[ContactTitle]" caption="ContactTitle" attribute="1" defaultMemberUniqueName="[CustomerInfo].[ContactTitle].[All]" allUniqueName="[CustomerInfo].[ContactTitle].[All]" dimensionUniqueName="[CustomerInfo]" displayFolder="" count="0" memberValueDatatype="130" unbalanced="0"/>
    <cacheHierarchy uniqueName="[CustomerInfo].[Address]" caption="Address" attribute="1" defaultMemberUniqueName="[CustomerInfo].[Address].[All]" allUniqueName="[CustomerInfo].[Address].[All]" dimensionUniqueName="[CustomerInfo]" displayFolder="" count="0" memberValueDatatype="130" unbalanced="0"/>
    <cacheHierarchy uniqueName="[CustomerInfo].[City]" caption="City" attribute="1" defaultMemberUniqueName="[CustomerInfo].[City].[All]" allUniqueName="[CustomerInfo].[City].[All]" dimensionUniqueName="[CustomerInfo]" displayFolder="" count="0" memberValueDatatype="130" unbalanced="0"/>
    <cacheHierarchy uniqueName="[CustomerInfo].[Region]" caption="Region" attribute="1" defaultMemberUniqueName="[CustomerInfo].[Region].[All]" allUniqueName="[CustomerInfo].[Region].[All]" dimensionUniqueName="[CustomerInfo]" displayFolder="" count="0" memberValueDatatype="130" unbalanced="0"/>
    <cacheHierarchy uniqueName="[CustomerInfo].[PostalCode]" caption="PostalCode" attribute="1" defaultMemberUniqueName="[CustomerInfo].[PostalCode].[All]" allUniqueName="[CustomerInfo].[PostalCode].[All]" dimensionUniqueName="[CustomerInfo]" displayFolder="" count="0" memberValueDatatype="130" unbalanced="0"/>
    <cacheHierarchy uniqueName="[CustomerInfo].[Country]" caption="Country" attribute="1" defaultMemberUniqueName="[CustomerInfo].[Country].[All]" allUniqueName="[CustomerInfo].[Country].[All]" dimensionUniqueName="[CustomerInfo]" displayFolder="" count="2" memberValueDatatype="130" unbalanced="0">
      <fieldsUsage count="2">
        <fieldUsage x="-1"/>
        <fieldUsage x="0"/>
      </fieldsUsage>
    </cacheHierarchy>
    <cacheHierarchy uniqueName="[CustomerInfo].[Phone]" caption="Phone" attribute="1" defaultMemberUniqueName="[CustomerInfo].[Phone].[All]" allUniqueName="[CustomerInfo].[Phone].[All]" dimensionUniqueName="[CustomerInfo]" displayFolder="" count="0" memberValueDatatype="130" unbalanced="0"/>
    <cacheHierarchy uniqueName="[CustomerInfo].[Fax]" caption="Fax" attribute="1" defaultMemberUniqueName="[CustomerInfo].[Fax].[All]" allUniqueName="[CustomerInfo].[Fax].[All]" dimensionUniqueName="[CustomerInfo]" displayFolder="" count="0" memberValueDatatype="130" unbalanced="0"/>
    <cacheHierarchy uniqueName="[OrderInfo].[OrderID]" caption="OrderID" attribute="1" defaultMemberUniqueName="[OrderInfo].[OrderID].[All]" allUniqueName="[OrderInfo].[OrderID].[All]" dimensionUniqueName="[OrderInfo]" displayFolder="" count="0" memberValueDatatype="20" unbalanced="0"/>
    <cacheHierarchy uniqueName="[OrderInfo].[CustomerID]" caption="CustomerID" attribute="1" defaultMemberUniqueName="[OrderInfo].[CustomerID].[All]" allUniqueName="[OrderInfo].[CustomerID].[All]" dimensionUniqueName="[OrderInfo]" displayFolder="" count="0" memberValueDatatype="130" unbalanced="0"/>
    <cacheHierarchy uniqueName="[OrderInfo].[EmployeeID]" caption="EmployeeID" attribute="1" defaultMemberUniqueName="[OrderInfo].[EmployeeID].[All]" allUniqueName="[OrderInfo].[EmployeeID].[All]" dimensionUniqueName="[OrderInfo]" displayFolder="" count="0" memberValueDatatype="20" unbalanced="0"/>
    <cacheHierarchy uniqueName="[OrderInfo].[OrderDate]" caption="OrderDate" attribute="1" time="1" defaultMemberUniqueName="[OrderInfo].[OrderDate].[All]" allUniqueName="[OrderInfo].[OrderDate].[All]" dimensionUniqueName="[OrderInfo]" displayFolder="" count="0" memberValueDatatype="7" unbalanced="0"/>
    <cacheHierarchy uniqueName="[OrderInfo].[RequiredDate]" caption="RequiredDate" attribute="1" time="1" defaultMemberUniqueName="[OrderInfo].[RequiredDate].[All]" allUniqueName="[OrderInfo].[RequiredDate].[All]" dimensionUniqueName="[OrderInfo]" displayFolder="" count="0" memberValueDatatype="7" unbalanced="0"/>
    <cacheHierarchy uniqueName="[OrderInfo].[ShippedDate]" caption="ShippedDate" attribute="1" time="1" defaultMemberUniqueName="[OrderInfo].[ShippedDate].[All]" allUniqueName="[OrderInfo].[ShippedDate].[All]" dimensionUniqueName="[OrderInfo]" displayFolder="" count="0" memberValueDatatype="7" unbalanced="0"/>
    <cacheHierarchy uniqueName="[OrderInfo].[ShipVia]" caption="ShipVia" attribute="1" defaultMemberUniqueName="[OrderInfo].[ShipVia].[All]" allUniqueName="[OrderInfo].[ShipVia].[All]" dimensionUniqueName="[OrderInfo]" displayFolder="" count="0" memberValueDatatype="20" unbalanced="0"/>
    <cacheHierarchy uniqueName="[OrderInfo].[Freight]" caption="Freight" attribute="1" defaultMemberUniqueName="[OrderInfo].[Freight].[All]" allUniqueName="[OrderInfo].[Freight].[All]" dimensionUniqueName="[OrderInfo]" displayFolder="" count="0" memberValueDatatype="5" unbalanced="0"/>
    <cacheHierarchy uniqueName="[OrderInfo].[ShipName]" caption="ShipName" attribute="1" defaultMemberUniqueName="[OrderInfo].[ShipName].[All]" allUniqueName="[OrderInfo].[ShipName].[All]" dimensionUniqueName="[OrderInfo]" displayFolder="" count="0" memberValueDatatype="130" unbalanced="0"/>
    <cacheHierarchy uniqueName="[OrderInfo].[ShipAddress]" caption="ShipAddress" attribute="1" defaultMemberUniqueName="[OrderInfo].[ShipAddress].[All]" allUniqueName="[OrderInfo].[ShipAddress].[All]" dimensionUniqueName="[OrderInfo]" displayFolder="" count="0" memberValueDatatype="130" unbalanced="0"/>
    <cacheHierarchy uniqueName="[OrderInfo].[ShipCity]" caption="ShipCity" attribute="1" defaultMemberUniqueName="[OrderInfo].[ShipCity].[All]" allUniqueName="[OrderInfo].[ShipCity].[All]" dimensionUniqueName="[OrderInfo]" displayFolder="" count="0" memberValueDatatype="130" unbalanced="0"/>
    <cacheHierarchy uniqueName="[OrderInfo].[ShipRegion]" caption="ShipRegion" attribute="1" defaultMemberUniqueName="[OrderInfo].[ShipRegion].[All]" allUniqueName="[OrderInfo].[ShipRegion].[All]" dimensionUniqueName="[OrderInfo]" displayFolder="" count="0" memberValueDatatype="130" unbalanced="0"/>
    <cacheHierarchy uniqueName="[OrderInfo].[ShipPostalCode]" caption="ShipPostalCode" attribute="1" defaultMemberUniqueName="[OrderInfo].[ShipPostalCode].[All]" allUniqueName="[OrderInfo].[ShipPostalCode].[All]" dimensionUniqueName="[OrderInfo]" displayFolder="" count="0" memberValueDatatype="130" unbalanced="0"/>
    <cacheHierarchy uniqueName="[OrderInfo].[ShipCountry]" caption="ShipCountry" attribute="1" defaultMemberUniqueName="[OrderInfo].[ShipCountry].[All]" allUniqueName="[OrderInfo].[ShipCountry].[All]" dimensionUniqueName="[OrderInfo]" displayFolder="" count="0" memberValueDatatype="130" unbalanced="0"/>
    <cacheHierarchy uniqueName="[Measures].[Distinct Count of ShipVia]" caption="Distinct Count of ShipVia" measure="1" displayFolder="" measureGroup="OrderInfo" count="0"/>
    <cacheHierarchy uniqueName="[Measures].[Average of Freight]" caption="Average of Freight" measure="1" displayFolder="" measureGroup="OrderInfo" count="0"/>
    <cacheHierarchy uniqueName="[Measures].[__XL_Count CustomerInfo]" caption="__XL_Count CustomerInfo" measure="1" displayFolder="" measureGroup="CustomerInfo" count="0" hidden="1"/>
    <cacheHierarchy uniqueName="[Measures].[__XL_Count OrderInfo]" caption="__XL_Count OrderInfo" measure="1" displayFolder="" measureGroup="OrderInfo" count="0" hidden="1"/>
    <cacheHierarchy uniqueName="[Measures].[__No measures defined]" caption="__No measures defined" measure="1" displayFolder="" count="0" hidden="1"/>
    <cacheHierarchy uniqueName="[Measures].[_Average of Freight Goal]" caption="_Average of Freight Goal" measure="1" displayFolder="" measureGroup="OrderInfo" count="0" hidden="1"/>
    <cacheHierarchy uniqueName="[Measures].[_Average of Freight Status]" caption="_Average of Freight Status" measure="1" iconSet="6" displayFolder="" measureGroup="OrderInfo" count="0" oneField="1" hidden="1">
      <fieldsUsage count="1">
        <fieldUsage x="1"/>
      </fieldsUsage>
    </cacheHierarchy>
    <cacheHierarchy uniqueName="[Measures].[Sum of Freight]" caption="Sum of Freight" measure="1" displayFolder="" measureGroup="OrderInfo" count="0" hidden="1">
      <extLst>
        <ext xmlns:x15="http://schemas.microsoft.com/office/spreadsheetml/2010/11/main" uri="{B97F6D7D-B522-45F9-BDA1-12C45D357490}">
          <x15:cacheHierarchy aggregatedColumn="18"/>
        </ext>
      </extLst>
    </cacheHierarchy>
    <cacheHierarchy uniqueName="[Measures].[Average of Freight 2]" caption="Average of Freight 2" measure="1" displayFolder="" measureGroup="OrderInfo" count="0" oneField="1" hidden="1">
      <fieldsUsage count="1">
        <fieldUsage x="2"/>
      </fieldsUsage>
      <extLst>
        <ext xmlns:x15="http://schemas.microsoft.com/office/spreadsheetml/2010/11/main" uri="{B97F6D7D-B522-45F9-BDA1-12C45D357490}">
          <x15:cacheHierarchy aggregatedColumn="18"/>
        </ext>
      </extLst>
    </cacheHierarchy>
  </cacheHierarchies>
  <kpis count="1">
    <kpi uniqueName="Average of Freight" caption="Average of Freight" displayFolder="" measureGroup="OrderInfo" parent="" value="[Measures].[Average of Freight]" goal="[Measures].[_Average of Freight Goal]" status="[Measures].[_Average of Freight Status]" trend="" weight=""/>
  </kpis>
  <dimensions count="3">
    <dimension name="CustomerInfo" uniqueName="[CustomerInfo]" caption="CustomerInfo"/>
    <dimension measure="1" name="Measures" uniqueName="[Measures]" caption="Measures"/>
    <dimension name="OrderInfo" uniqueName="[OrderInfo]" caption="OrderInfo"/>
  </dimensions>
  <measureGroups count="2">
    <measureGroup name="CustomerInfo" caption="CustomerInfo"/>
    <measureGroup name="OrderInfo" caption="OrderInfo"/>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Thakur" refreshedDate="45170.642340162034" createdVersion="8" refreshedVersion="8" minRefreshableVersion="3" recordCount="444" xr:uid="{B7EE1506-31A7-41B3-8E8D-48EB6853065E}">
  <cacheSource type="worksheet">
    <worksheetSource ref="A4:H448" sheet="Sales Data"/>
  </cacheSource>
  <cacheFields count="8">
    <cacheField name="Year" numFmtId="0">
      <sharedItems containsSemiMixedTypes="0" containsString="0" containsNumber="1" containsInteger="1" minValue="2013" maxValue="2015" count="3">
        <n v="2013"/>
        <n v="2014"/>
        <n v="2015"/>
      </sharedItems>
    </cacheField>
    <cacheField name="Month" numFmtId="0">
      <sharedItems count="7">
        <s v="January"/>
        <s v="February"/>
        <s v="March"/>
        <s v="April"/>
        <s v="May"/>
        <s v="November"/>
        <s v="December"/>
      </sharedItems>
    </cacheField>
    <cacheField name="Type" numFmtId="0">
      <sharedItems count="4">
        <s v="Ice Cream"/>
        <s v="Frozen Yogurt"/>
        <s v="Tasty Treats"/>
        <s v="Popsicles"/>
      </sharedItems>
    </cacheField>
    <cacheField name="Salesperson" numFmtId="0">
      <sharedItems count="5">
        <s v="Bishop"/>
        <s v="Lee"/>
        <s v="Parker"/>
        <s v="Pullen"/>
        <s v="Watson"/>
      </sharedItems>
    </cacheField>
    <cacheField name="Region" numFmtId="0">
      <sharedItems count="4">
        <s v="West"/>
        <s v="Central"/>
        <s v="North"/>
        <s v="South"/>
      </sharedItems>
    </cacheField>
    <cacheField name="Sales" numFmtId="166">
      <sharedItems containsSemiMixedTypes="0" containsString="0" containsNumber="1" minValue="235.5" maxValue="14647.5"/>
    </cacheField>
    <cacheField name="Units" numFmtId="0">
      <sharedItems containsSemiMixedTypes="0" containsString="0" containsNumber="1" containsInteger="1" minValue="157" maxValue="9765"/>
    </cacheField>
    <cacheField name="Order #" numFmtId="49">
      <sharedItems/>
    </cacheField>
  </cacheFields>
  <extLst>
    <ext xmlns:x14="http://schemas.microsoft.com/office/spreadsheetml/2009/9/main" uri="{725AE2AE-9491-48be-B2B4-4EB974FC3084}">
      <x14:pivotCacheDefinition pivotCacheId="981601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4">
  <r>
    <x v="0"/>
    <x v="0"/>
    <x v="0"/>
    <x v="0"/>
    <x v="0"/>
    <n v="2395.5"/>
    <n v="1597"/>
    <s v="001"/>
  </r>
  <r>
    <x v="0"/>
    <x v="0"/>
    <x v="0"/>
    <x v="0"/>
    <x v="0"/>
    <n v="11761.5"/>
    <n v="7841"/>
    <s v="002"/>
  </r>
  <r>
    <x v="0"/>
    <x v="0"/>
    <x v="1"/>
    <x v="0"/>
    <x v="0"/>
    <n v="8943"/>
    <n v="5962"/>
    <s v="003"/>
  </r>
  <r>
    <x v="0"/>
    <x v="0"/>
    <x v="0"/>
    <x v="0"/>
    <x v="0"/>
    <n v="2395.5"/>
    <n v="1597"/>
    <s v="004"/>
  </r>
  <r>
    <x v="0"/>
    <x v="0"/>
    <x v="0"/>
    <x v="0"/>
    <x v="0"/>
    <n v="11761.5"/>
    <n v="7841"/>
    <s v="005"/>
  </r>
  <r>
    <x v="0"/>
    <x v="0"/>
    <x v="1"/>
    <x v="0"/>
    <x v="0"/>
    <n v="8943"/>
    <n v="5962"/>
    <s v="006"/>
  </r>
  <r>
    <x v="0"/>
    <x v="0"/>
    <x v="1"/>
    <x v="1"/>
    <x v="1"/>
    <n v="14596.5"/>
    <n v="9731"/>
    <s v="007"/>
  </r>
  <r>
    <x v="0"/>
    <x v="0"/>
    <x v="2"/>
    <x v="1"/>
    <x v="1"/>
    <n v="8793"/>
    <n v="5862"/>
    <s v="008"/>
  </r>
  <r>
    <x v="0"/>
    <x v="0"/>
    <x v="1"/>
    <x v="1"/>
    <x v="1"/>
    <n v="14596.5"/>
    <n v="9731"/>
    <s v="009"/>
  </r>
  <r>
    <x v="0"/>
    <x v="0"/>
    <x v="2"/>
    <x v="1"/>
    <x v="1"/>
    <n v="8793"/>
    <n v="5862"/>
    <s v="010"/>
  </r>
  <r>
    <x v="0"/>
    <x v="0"/>
    <x v="0"/>
    <x v="2"/>
    <x v="2"/>
    <n v="4666"/>
    <n v="5623"/>
    <s v="011"/>
  </r>
  <r>
    <x v="0"/>
    <x v="0"/>
    <x v="0"/>
    <x v="2"/>
    <x v="2"/>
    <n v="7318.5"/>
    <n v="4879"/>
    <s v="012"/>
  </r>
  <r>
    <x v="0"/>
    <x v="0"/>
    <x v="0"/>
    <x v="2"/>
    <x v="2"/>
    <n v="4666"/>
    <n v="5623"/>
    <s v="013"/>
  </r>
  <r>
    <x v="0"/>
    <x v="0"/>
    <x v="0"/>
    <x v="2"/>
    <x v="2"/>
    <n v="7318.5"/>
    <n v="4879"/>
    <s v="014"/>
  </r>
  <r>
    <x v="0"/>
    <x v="0"/>
    <x v="3"/>
    <x v="3"/>
    <x v="3"/>
    <n v="3553.5"/>
    <n v="2369"/>
    <s v="015"/>
  </r>
  <r>
    <x v="0"/>
    <x v="0"/>
    <x v="3"/>
    <x v="3"/>
    <x v="3"/>
    <n v="3553.5"/>
    <n v="2369"/>
    <s v="016"/>
  </r>
  <r>
    <x v="0"/>
    <x v="0"/>
    <x v="1"/>
    <x v="4"/>
    <x v="1"/>
    <n v="14596.5"/>
    <n v="9731"/>
    <s v="017"/>
  </r>
  <r>
    <x v="0"/>
    <x v="0"/>
    <x v="2"/>
    <x v="4"/>
    <x v="1"/>
    <n v="8793"/>
    <n v="5862"/>
    <s v="018"/>
  </r>
  <r>
    <x v="0"/>
    <x v="0"/>
    <x v="1"/>
    <x v="4"/>
    <x v="1"/>
    <n v="14596.5"/>
    <n v="9731"/>
    <s v="019"/>
  </r>
  <r>
    <x v="0"/>
    <x v="0"/>
    <x v="2"/>
    <x v="4"/>
    <x v="1"/>
    <n v="8793"/>
    <n v="5862"/>
    <s v="020"/>
  </r>
  <r>
    <x v="0"/>
    <x v="1"/>
    <x v="0"/>
    <x v="0"/>
    <x v="0"/>
    <n v="4887"/>
    <n v="3258"/>
    <s v="021"/>
  </r>
  <r>
    <x v="0"/>
    <x v="1"/>
    <x v="0"/>
    <x v="0"/>
    <x v="0"/>
    <n v="4887"/>
    <n v="3258"/>
    <s v="022"/>
  </r>
  <r>
    <x v="0"/>
    <x v="1"/>
    <x v="2"/>
    <x v="1"/>
    <x v="1"/>
    <n v="11122.5"/>
    <n v="7415"/>
    <s v="023"/>
  </r>
  <r>
    <x v="0"/>
    <x v="1"/>
    <x v="0"/>
    <x v="1"/>
    <x v="1"/>
    <n v="13428"/>
    <n v="8952"/>
    <s v="024"/>
  </r>
  <r>
    <x v="0"/>
    <x v="1"/>
    <x v="2"/>
    <x v="1"/>
    <x v="1"/>
    <n v="11122.5"/>
    <n v="7415"/>
    <s v="025"/>
  </r>
  <r>
    <x v="0"/>
    <x v="1"/>
    <x v="0"/>
    <x v="1"/>
    <x v="1"/>
    <n v="13428"/>
    <n v="8952"/>
    <s v="026"/>
  </r>
  <r>
    <x v="0"/>
    <x v="1"/>
    <x v="1"/>
    <x v="2"/>
    <x v="2"/>
    <n v="3897"/>
    <n v="2598"/>
    <s v="027"/>
  </r>
  <r>
    <x v="0"/>
    <x v="1"/>
    <x v="1"/>
    <x v="2"/>
    <x v="2"/>
    <n v="8832"/>
    <n v="5888"/>
    <s v="028"/>
  </r>
  <r>
    <x v="0"/>
    <x v="1"/>
    <x v="1"/>
    <x v="2"/>
    <x v="2"/>
    <n v="3897"/>
    <n v="2598"/>
    <s v="029"/>
  </r>
  <r>
    <x v="0"/>
    <x v="1"/>
    <x v="1"/>
    <x v="2"/>
    <x v="2"/>
    <n v="8832"/>
    <n v="5888"/>
    <s v="030"/>
  </r>
  <r>
    <x v="0"/>
    <x v="1"/>
    <x v="2"/>
    <x v="3"/>
    <x v="3"/>
    <n v="11122.5"/>
    <n v="7415"/>
    <s v="031"/>
  </r>
  <r>
    <x v="0"/>
    <x v="1"/>
    <x v="1"/>
    <x v="3"/>
    <x v="3"/>
    <n v="14647.5"/>
    <n v="9765"/>
    <s v="032"/>
  </r>
  <r>
    <x v="0"/>
    <x v="1"/>
    <x v="2"/>
    <x v="3"/>
    <x v="3"/>
    <n v="11122.5"/>
    <n v="7415"/>
    <s v="033"/>
  </r>
  <r>
    <x v="0"/>
    <x v="1"/>
    <x v="1"/>
    <x v="3"/>
    <x v="3"/>
    <n v="14647.5"/>
    <n v="9765"/>
    <s v="034"/>
  </r>
  <r>
    <x v="0"/>
    <x v="1"/>
    <x v="0"/>
    <x v="4"/>
    <x v="1"/>
    <n v="13428"/>
    <n v="8952"/>
    <s v="035"/>
  </r>
  <r>
    <x v="0"/>
    <x v="1"/>
    <x v="3"/>
    <x v="4"/>
    <x v="1"/>
    <n v="7480.5"/>
    <n v="4987"/>
    <s v="036"/>
  </r>
  <r>
    <x v="0"/>
    <x v="1"/>
    <x v="0"/>
    <x v="4"/>
    <x v="1"/>
    <n v="13428"/>
    <n v="8952"/>
    <s v="037"/>
  </r>
  <r>
    <x v="0"/>
    <x v="1"/>
    <x v="3"/>
    <x v="4"/>
    <x v="1"/>
    <n v="7480.5"/>
    <n v="4987"/>
    <s v="038"/>
  </r>
  <r>
    <x v="0"/>
    <x v="2"/>
    <x v="2"/>
    <x v="0"/>
    <x v="0"/>
    <n v="14619"/>
    <n v="9746"/>
    <s v="039"/>
  </r>
  <r>
    <x v="0"/>
    <x v="2"/>
    <x v="0"/>
    <x v="0"/>
    <x v="0"/>
    <n v="867"/>
    <n v="578"/>
    <s v="040"/>
  </r>
  <r>
    <x v="0"/>
    <x v="2"/>
    <x v="2"/>
    <x v="0"/>
    <x v="0"/>
    <n v="14619"/>
    <n v="9746"/>
    <s v="041"/>
  </r>
  <r>
    <x v="0"/>
    <x v="2"/>
    <x v="0"/>
    <x v="0"/>
    <x v="0"/>
    <n v="867"/>
    <n v="578"/>
    <s v="042"/>
  </r>
  <r>
    <x v="0"/>
    <x v="2"/>
    <x v="2"/>
    <x v="1"/>
    <x v="1"/>
    <n v="14619"/>
    <n v="9746"/>
    <s v="043"/>
  </r>
  <r>
    <x v="0"/>
    <x v="2"/>
    <x v="0"/>
    <x v="1"/>
    <x v="1"/>
    <n v="5380.5"/>
    <n v="3587"/>
    <s v="044"/>
  </r>
  <r>
    <x v="0"/>
    <x v="2"/>
    <x v="2"/>
    <x v="1"/>
    <x v="1"/>
    <n v="14619"/>
    <n v="9746"/>
    <s v="045"/>
  </r>
  <r>
    <x v="0"/>
    <x v="2"/>
    <x v="0"/>
    <x v="1"/>
    <x v="1"/>
    <n v="5380.5"/>
    <n v="3587"/>
    <s v="046"/>
  </r>
  <r>
    <x v="0"/>
    <x v="2"/>
    <x v="2"/>
    <x v="2"/>
    <x v="2"/>
    <n v="3547.5"/>
    <n v="2365"/>
    <s v="047"/>
  </r>
  <r>
    <x v="0"/>
    <x v="2"/>
    <x v="1"/>
    <x v="2"/>
    <x v="2"/>
    <n v="14596.5"/>
    <n v="9731"/>
    <s v="048"/>
  </r>
  <r>
    <x v="0"/>
    <x v="2"/>
    <x v="2"/>
    <x v="2"/>
    <x v="2"/>
    <n v="3547.5"/>
    <n v="2365"/>
    <s v="049"/>
  </r>
  <r>
    <x v="0"/>
    <x v="2"/>
    <x v="1"/>
    <x v="2"/>
    <x v="2"/>
    <n v="14596.5"/>
    <n v="9731"/>
    <s v="050"/>
  </r>
  <r>
    <x v="0"/>
    <x v="2"/>
    <x v="1"/>
    <x v="3"/>
    <x v="3"/>
    <n v="1498.5"/>
    <n v="999"/>
    <s v="051"/>
  </r>
  <r>
    <x v="0"/>
    <x v="2"/>
    <x v="2"/>
    <x v="3"/>
    <x v="3"/>
    <n v="235.5"/>
    <n v="157"/>
    <s v="052"/>
  </r>
  <r>
    <x v="0"/>
    <x v="2"/>
    <x v="1"/>
    <x v="3"/>
    <x v="3"/>
    <n v="1498.5"/>
    <n v="999"/>
    <s v="053"/>
  </r>
  <r>
    <x v="0"/>
    <x v="2"/>
    <x v="2"/>
    <x v="3"/>
    <x v="3"/>
    <n v="235.5"/>
    <n v="157"/>
    <s v="054"/>
  </r>
  <r>
    <x v="0"/>
    <x v="2"/>
    <x v="0"/>
    <x v="4"/>
    <x v="1"/>
    <n v="5380.5"/>
    <n v="3587"/>
    <s v="055"/>
  </r>
  <r>
    <x v="0"/>
    <x v="2"/>
    <x v="3"/>
    <x v="4"/>
    <x v="1"/>
    <n v="14446.5"/>
    <n v="9631"/>
    <s v="056"/>
  </r>
  <r>
    <x v="0"/>
    <x v="2"/>
    <x v="0"/>
    <x v="4"/>
    <x v="1"/>
    <n v="5380.5"/>
    <n v="3587"/>
    <s v="057"/>
  </r>
  <r>
    <x v="0"/>
    <x v="2"/>
    <x v="3"/>
    <x v="4"/>
    <x v="1"/>
    <n v="14446.5"/>
    <n v="9631"/>
    <s v="058"/>
  </r>
  <r>
    <x v="0"/>
    <x v="3"/>
    <x v="3"/>
    <x v="0"/>
    <x v="0"/>
    <n v="2367"/>
    <n v="1578"/>
    <s v="059"/>
  </r>
  <r>
    <x v="0"/>
    <x v="3"/>
    <x v="2"/>
    <x v="0"/>
    <x v="0"/>
    <n v="6880.5"/>
    <n v="4587"/>
    <s v="060"/>
  </r>
  <r>
    <x v="0"/>
    <x v="3"/>
    <x v="3"/>
    <x v="0"/>
    <x v="0"/>
    <n v="2367"/>
    <n v="1578"/>
    <s v="061"/>
  </r>
  <r>
    <x v="0"/>
    <x v="3"/>
    <x v="2"/>
    <x v="0"/>
    <x v="0"/>
    <n v="6880.5"/>
    <n v="4587"/>
    <s v="062"/>
  </r>
  <r>
    <x v="0"/>
    <x v="3"/>
    <x v="0"/>
    <x v="1"/>
    <x v="1"/>
    <n v="11838"/>
    <n v="7892"/>
    <s v="063"/>
  </r>
  <r>
    <x v="0"/>
    <x v="3"/>
    <x v="3"/>
    <x v="1"/>
    <x v="1"/>
    <n v="2367"/>
    <n v="1578"/>
    <s v="064"/>
  </r>
  <r>
    <x v="0"/>
    <x v="3"/>
    <x v="0"/>
    <x v="1"/>
    <x v="1"/>
    <n v="7030.5"/>
    <n v="4687"/>
    <s v="065"/>
  </r>
  <r>
    <x v="0"/>
    <x v="3"/>
    <x v="1"/>
    <x v="1"/>
    <x v="1"/>
    <n v="2046"/>
    <n v="1364"/>
    <s v="066"/>
  </r>
  <r>
    <x v="0"/>
    <x v="3"/>
    <x v="0"/>
    <x v="1"/>
    <x v="1"/>
    <n v="11838"/>
    <n v="7892"/>
    <s v="067"/>
  </r>
  <r>
    <x v="0"/>
    <x v="3"/>
    <x v="3"/>
    <x v="1"/>
    <x v="1"/>
    <n v="2367"/>
    <n v="1578"/>
    <s v="068"/>
  </r>
  <r>
    <x v="0"/>
    <x v="3"/>
    <x v="0"/>
    <x v="1"/>
    <x v="1"/>
    <n v="7030.5"/>
    <n v="4687"/>
    <s v="069"/>
  </r>
  <r>
    <x v="0"/>
    <x v="3"/>
    <x v="1"/>
    <x v="1"/>
    <x v="1"/>
    <n v="2046"/>
    <n v="1364"/>
    <s v="070"/>
  </r>
  <r>
    <x v="0"/>
    <x v="3"/>
    <x v="2"/>
    <x v="2"/>
    <x v="2"/>
    <n v="8793"/>
    <n v="5862"/>
    <s v="071"/>
  </r>
  <r>
    <x v="0"/>
    <x v="3"/>
    <x v="2"/>
    <x v="2"/>
    <x v="2"/>
    <n v="11122.5"/>
    <n v="7415"/>
    <s v="072"/>
  </r>
  <r>
    <x v="0"/>
    <x v="3"/>
    <x v="0"/>
    <x v="2"/>
    <x v="2"/>
    <n v="13428"/>
    <n v="8952"/>
    <s v="073"/>
  </r>
  <r>
    <x v="0"/>
    <x v="3"/>
    <x v="2"/>
    <x v="2"/>
    <x v="2"/>
    <n v="14619"/>
    <n v="9746"/>
    <s v="074"/>
  </r>
  <r>
    <x v="0"/>
    <x v="3"/>
    <x v="3"/>
    <x v="2"/>
    <x v="2"/>
    <n v="2367"/>
    <n v="1578"/>
    <s v="075"/>
  </r>
  <r>
    <x v="0"/>
    <x v="3"/>
    <x v="2"/>
    <x v="2"/>
    <x v="2"/>
    <n v="8793"/>
    <n v="5862"/>
    <s v="076"/>
  </r>
  <r>
    <x v="0"/>
    <x v="3"/>
    <x v="2"/>
    <x v="2"/>
    <x v="2"/>
    <n v="11122.5"/>
    <n v="7415"/>
    <s v="077"/>
  </r>
  <r>
    <x v="0"/>
    <x v="3"/>
    <x v="0"/>
    <x v="2"/>
    <x v="2"/>
    <n v="13428"/>
    <n v="8952"/>
    <s v="078"/>
  </r>
  <r>
    <x v="0"/>
    <x v="3"/>
    <x v="2"/>
    <x v="2"/>
    <x v="2"/>
    <n v="14619"/>
    <n v="9746"/>
    <s v="079"/>
  </r>
  <r>
    <x v="0"/>
    <x v="3"/>
    <x v="3"/>
    <x v="2"/>
    <x v="2"/>
    <n v="2367"/>
    <n v="1578"/>
    <s v="080"/>
  </r>
  <r>
    <x v="0"/>
    <x v="3"/>
    <x v="0"/>
    <x v="3"/>
    <x v="3"/>
    <n v="11838"/>
    <n v="7892"/>
    <s v="081"/>
  </r>
  <r>
    <x v="0"/>
    <x v="3"/>
    <x v="0"/>
    <x v="3"/>
    <x v="3"/>
    <n v="11979"/>
    <n v="7986"/>
    <s v="082"/>
  </r>
  <r>
    <x v="0"/>
    <x v="3"/>
    <x v="0"/>
    <x v="3"/>
    <x v="3"/>
    <n v="11838"/>
    <n v="7892"/>
    <s v="083"/>
  </r>
  <r>
    <x v="0"/>
    <x v="3"/>
    <x v="0"/>
    <x v="3"/>
    <x v="3"/>
    <n v="11979"/>
    <n v="7986"/>
    <s v="084"/>
  </r>
  <r>
    <x v="0"/>
    <x v="3"/>
    <x v="0"/>
    <x v="4"/>
    <x v="1"/>
    <n v="7030.5"/>
    <n v="4687"/>
    <s v="085"/>
  </r>
  <r>
    <x v="0"/>
    <x v="3"/>
    <x v="1"/>
    <x v="4"/>
    <x v="1"/>
    <n v="2046"/>
    <n v="1364"/>
    <s v="086"/>
  </r>
  <r>
    <x v="0"/>
    <x v="3"/>
    <x v="0"/>
    <x v="4"/>
    <x v="1"/>
    <n v="7030.5"/>
    <n v="4687"/>
    <s v="087"/>
  </r>
  <r>
    <x v="0"/>
    <x v="3"/>
    <x v="1"/>
    <x v="4"/>
    <x v="1"/>
    <n v="2046"/>
    <n v="1364"/>
    <s v="088"/>
  </r>
  <r>
    <x v="0"/>
    <x v="4"/>
    <x v="1"/>
    <x v="0"/>
    <x v="0"/>
    <n v="747"/>
    <n v="498"/>
    <s v="089"/>
  </r>
  <r>
    <x v="0"/>
    <x v="4"/>
    <x v="3"/>
    <x v="0"/>
    <x v="0"/>
    <n v="7342.5"/>
    <n v="4895"/>
    <s v="090"/>
  </r>
  <r>
    <x v="0"/>
    <x v="4"/>
    <x v="1"/>
    <x v="0"/>
    <x v="0"/>
    <n v="747"/>
    <n v="498"/>
    <s v="091"/>
  </r>
  <r>
    <x v="0"/>
    <x v="4"/>
    <x v="3"/>
    <x v="0"/>
    <x v="0"/>
    <n v="7342.5"/>
    <n v="4895"/>
    <s v="092"/>
  </r>
  <r>
    <x v="0"/>
    <x v="4"/>
    <x v="3"/>
    <x v="1"/>
    <x v="1"/>
    <n v="7344"/>
    <n v="4896"/>
    <s v="093"/>
  </r>
  <r>
    <x v="0"/>
    <x v="4"/>
    <x v="0"/>
    <x v="1"/>
    <x v="1"/>
    <n v="6880.5"/>
    <n v="4587"/>
    <s v="094"/>
  </r>
  <r>
    <x v="0"/>
    <x v="4"/>
    <x v="3"/>
    <x v="1"/>
    <x v="1"/>
    <n v="7344"/>
    <n v="4896"/>
    <s v="095"/>
  </r>
  <r>
    <x v="0"/>
    <x v="4"/>
    <x v="0"/>
    <x v="1"/>
    <x v="1"/>
    <n v="6880.5"/>
    <n v="4587"/>
    <s v="096"/>
  </r>
  <r>
    <x v="0"/>
    <x v="4"/>
    <x v="0"/>
    <x v="2"/>
    <x v="2"/>
    <n v="5380.5"/>
    <n v="3587"/>
    <s v="097"/>
  </r>
  <r>
    <x v="0"/>
    <x v="4"/>
    <x v="0"/>
    <x v="2"/>
    <x v="2"/>
    <n v="11838"/>
    <n v="7892"/>
    <s v="098"/>
  </r>
  <r>
    <x v="0"/>
    <x v="4"/>
    <x v="0"/>
    <x v="2"/>
    <x v="2"/>
    <n v="5380.5"/>
    <n v="3587"/>
    <s v="099"/>
  </r>
  <r>
    <x v="0"/>
    <x v="4"/>
    <x v="0"/>
    <x v="2"/>
    <x v="2"/>
    <n v="11838"/>
    <n v="7892"/>
    <s v="100"/>
  </r>
  <r>
    <x v="0"/>
    <x v="4"/>
    <x v="3"/>
    <x v="3"/>
    <x v="3"/>
    <n v="7344"/>
    <n v="4896"/>
    <s v="101"/>
  </r>
  <r>
    <x v="0"/>
    <x v="4"/>
    <x v="0"/>
    <x v="3"/>
    <x v="3"/>
    <n v="6880.5"/>
    <n v="4587"/>
    <s v="102"/>
  </r>
  <r>
    <x v="0"/>
    <x v="4"/>
    <x v="0"/>
    <x v="3"/>
    <x v="3"/>
    <n v="7318.5"/>
    <n v="4879"/>
    <s v="103"/>
  </r>
  <r>
    <x v="0"/>
    <x v="4"/>
    <x v="3"/>
    <x v="3"/>
    <x v="3"/>
    <n v="7344"/>
    <n v="4896"/>
    <s v="104"/>
  </r>
  <r>
    <x v="0"/>
    <x v="4"/>
    <x v="0"/>
    <x v="3"/>
    <x v="3"/>
    <n v="6880.5"/>
    <n v="4587"/>
    <s v="105"/>
  </r>
  <r>
    <x v="0"/>
    <x v="4"/>
    <x v="0"/>
    <x v="3"/>
    <x v="3"/>
    <n v="7318.5"/>
    <n v="4879"/>
    <s v="106"/>
  </r>
  <r>
    <x v="0"/>
    <x v="4"/>
    <x v="2"/>
    <x v="4"/>
    <x v="1"/>
    <n v="6880.5"/>
    <n v="4587"/>
    <s v="107"/>
  </r>
  <r>
    <x v="0"/>
    <x v="4"/>
    <x v="0"/>
    <x v="4"/>
    <x v="1"/>
    <n v="9486"/>
    <n v="6324"/>
    <s v="108"/>
  </r>
  <r>
    <x v="0"/>
    <x v="4"/>
    <x v="2"/>
    <x v="4"/>
    <x v="1"/>
    <n v="6880.5"/>
    <n v="4587"/>
    <s v="109"/>
  </r>
  <r>
    <x v="0"/>
    <x v="4"/>
    <x v="0"/>
    <x v="4"/>
    <x v="1"/>
    <n v="9486"/>
    <n v="6324"/>
    <s v="110"/>
  </r>
  <r>
    <x v="0"/>
    <x v="5"/>
    <x v="0"/>
    <x v="0"/>
    <x v="0"/>
    <n v="4666"/>
    <n v="5623"/>
    <s v="111"/>
  </r>
  <r>
    <x v="0"/>
    <x v="5"/>
    <x v="0"/>
    <x v="0"/>
    <x v="0"/>
    <n v="10992"/>
    <n v="7328"/>
    <s v="112"/>
  </r>
  <r>
    <x v="0"/>
    <x v="5"/>
    <x v="0"/>
    <x v="0"/>
    <x v="0"/>
    <n v="4666"/>
    <n v="5623"/>
    <s v="113"/>
  </r>
  <r>
    <x v="0"/>
    <x v="5"/>
    <x v="0"/>
    <x v="0"/>
    <x v="0"/>
    <n v="10992"/>
    <n v="7328"/>
    <s v="114"/>
  </r>
  <r>
    <x v="0"/>
    <x v="5"/>
    <x v="0"/>
    <x v="1"/>
    <x v="1"/>
    <n v="4666"/>
    <n v="5623"/>
    <s v="115"/>
  </r>
  <r>
    <x v="0"/>
    <x v="5"/>
    <x v="1"/>
    <x v="1"/>
    <x v="1"/>
    <n v="3897"/>
    <n v="2598"/>
    <s v="116"/>
  </r>
  <r>
    <x v="0"/>
    <x v="5"/>
    <x v="0"/>
    <x v="1"/>
    <x v="1"/>
    <n v="4666"/>
    <n v="5623"/>
    <s v="117"/>
  </r>
  <r>
    <x v="0"/>
    <x v="5"/>
    <x v="1"/>
    <x v="1"/>
    <x v="1"/>
    <n v="3897"/>
    <n v="2598"/>
    <s v="118"/>
  </r>
  <r>
    <x v="0"/>
    <x v="5"/>
    <x v="1"/>
    <x v="2"/>
    <x v="2"/>
    <n v="747"/>
    <n v="498"/>
    <s v="119"/>
  </r>
  <r>
    <x v="0"/>
    <x v="5"/>
    <x v="2"/>
    <x v="2"/>
    <x v="2"/>
    <n v="6880.5"/>
    <n v="4587"/>
    <s v="120"/>
  </r>
  <r>
    <x v="0"/>
    <x v="5"/>
    <x v="1"/>
    <x v="2"/>
    <x v="2"/>
    <n v="747"/>
    <n v="498"/>
    <s v="121"/>
  </r>
  <r>
    <x v="0"/>
    <x v="5"/>
    <x v="2"/>
    <x v="2"/>
    <x v="2"/>
    <n v="6880.5"/>
    <n v="4587"/>
    <s v="122"/>
  </r>
  <r>
    <x v="0"/>
    <x v="5"/>
    <x v="1"/>
    <x v="3"/>
    <x v="3"/>
    <n v="3897"/>
    <n v="2598"/>
    <s v="123"/>
  </r>
  <r>
    <x v="0"/>
    <x v="5"/>
    <x v="3"/>
    <x v="3"/>
    <x v="3"/>
    <n v="3084"/>
    <n v="2056"/>
    <s v="124"/>
  </r>
  <r>
    <x v="0"/>
    <x v="5"/>
    <x v="1"/>
    <x v="3"/>
    <x v="3"/>
    <n v="3897"/>
    <n v="2598"/>
    <s v="125"/>
  </r>
  <r>
    <x v="0"/>
    <x v="5"/>
    <x v="3"/>
    <x v="3"/>
    <x v="3"/>
    <n v="3084"/>
    <n v="2056"/>
    <s v="126"/>
  </r>
  <r>
    <x v="0"/>
    <x v="5"/>
    <x v="2"/>
    <x v="4"/>
    <x v="1"/>
    <n v="12370.5"/>
    <n v="8247"/>
    <s v="127"/>
  </r>
  <r>
    <x v="0"/>
    <x v="5"/>
    <x v="0"/>
    <x v="4"/>
    <x v="1"/>
    <n v="13231.5"/>
    <n v="8821"/>
    <s v="128"/>
  </r>
  <r>
    <x v="0"/>
    <x v="5"/>
    <x v="2"/>
    <x v="4"/>
    <x v="1"/>
    <n v="12370.5"/>
    <n v="8247"/>
    <s v="129"/>
  </r>
  <r>
    <x v="0"/>
    <x v="5"/>
    <x v="0"/>
    <x v="4"/>
    <x v="1"/>
    <n v="13231.5"/>
    <n v="8821"/>
    <s v="130"/>
  </r>
  <r>
    <x v="0"/>
    <x v="6"/>
    <x v="1"/>
    <x v="0"/>
    <x v="0"/>
    <n v="8832"/>
    <n v="5888"/>
    <s v="131"/>
  </r>
  <r>
    <x v="0"/>
    <x v="6"/>
    <x v="0"/>
    <x v="0"/>
    <x v="0"/>
    <n v="13413"/>
    <n v="8942"/>
    <s v="132"/>
  </r>
  <r>
    <x v="0"/>
    <x v="6"/>
    <x v="3"/>
    <x v="0"/>
    <x v="0"/>
    <n v="4026"/>
    <n v="2684"/>
    <s v="133"/>
  </r>
  <r>
    <x v="0"/>
    <x v="6"/>
    <x v="1"/>
    <x v="0"/>
    <x v="0"/>
    <n v="8832"/>
    <n v="5888"/>
    <s v="134"/>
  </r>
  <r>
    <x v="0"/>
    <x v="6"/>
    <x v="0"/>
    <x v="0"/>
    <x v="0"/>
    <n v="13413"/>
    <n v="8942"/>
    <s v="135"/>
  </r>
  <r>
    <x v="0"/>
    <x v="6"/>
    <x v="3"/>
    <x v="0"/>
    <x v="0"/>
    <n v="4026"/>
    <n v="2684"/>
    <s v="136"/>
  </r>
  <r>
    <x v="0"/>
    <x v="6"/>
    <x v="1"/>
    <x v="1"/>
    <x v="1"/>
    <n v="8832"/>
    <n v="5888"/>
    <s v="137"/>
  </r>
  <r>
    <x v="0"/>
    <x v="6"/>
    <x v="2"/>
    <x v="1"/>
    <x v="1"/>
    <n v="3547.5"/>
    <n v="2365"/>
    <s v="138"/>
  </r>
  <r>
    <x v="0"/>
    <x v="6"/>
    <x v="1"/>
    <x v="1"/>
    <x v="1"/>
    <n v="8832"/>
    <n v="5888"/>
    <s v="139"/>
  </r>
  <r>
    <x v="0"/>
    <x v="6"/>
    <x v="2"/>
    <x v="1"/>
    <x v="1"/>
    <n v="3547.5"/>
    <n v="2365"/>
    <s v="140"/>
  </r>
  <r>
    <x v="0"/>
    <x v="6"/>
    <x v="0"/>
    <x v="2"/>
    <x v="2"/>
    <n v="9486"/>
    <n v="6324"/>
    <s v="141"/>
  </r>
  <r>
    <x v="0"/>
    <x v="6"/>
    <x v="3"/>
    <x v="2"/>
    <x v="2"/>
    <n v="7342.5"/>
    <n v="4895"/>
    <s v="142"/>
  </r>
  <r>
    <x v="0"/>
    <x v="6"/>
    <x v="0"/>
    <x v="2"/>
    <x v="2"/>
    <n v="9486"/>
    <n v="6324"/>
    <s v="143"/>
  </r>
  <r>
    <x v="0"/>
    <x v="6"/>
    <x v="3"/>
    <x v="2"/>
    <x v="2"/>
    <n v="7342.5"/>
    <n v="4895"/>
    <s v="144"/>
  </r>
  <r>
    <x v="0"/>
    <x v="6"/>
    <x v="2"/>
    <x v="3"/>
    <x v="3"/>
    <n v="3547.5"/>
    <n v="2365"/>
    <s v="145"/>
  </r>
  <r>
    <x v="0"/>
    <x v="6"/>
    <x v="0"/>
    <x v="3"/>
    <x v="3"/>
    <n v="3238.5"/>
    <n v="2159"/>
    <s v="146"/>
  </r>
  <r>
    <x v="0"/>
    <x v="6"/>
    <x v="2"/>
    <x v="3"/>
    <x v="3"/>
    <n v="3547.5"/>
    <n v="2365"/>
    <s v="147"/>
  </r>
  <r>
    <x v="0"/>
    <x v="6"/>
    <x v="0"/>
    <x v="3"/>
    <x v="3"/>
    <n v="3238.5"/>
    <n v="2159"/>
    <s v="148"/>
  </r>
  <r>
    <x v="1"/>
    <x v="0"/>
    <x v="0"/>
    <x v="0"/>
    <x v="0"/>
    <n v="2395.5"/>
    <n v="1597"/>
    <s v="149"/>
  </r>
  <r>
    <x v="1"/>
    <x v="0"/>
    <x v="0"/>
    <x v="0"/>
    <x v="0"/>
    <n v="11761.5"/>
    <n v="7841"/>
    <s v="150"/>
  </r>
  <r>
    <x v="1"/>
    <x v="0"/>
    <x v="1"/>
    <x v="0"/>
    <x v="0"/>
    <n v="8943"/>
    <n v="5962"/>
    <s v="151"/>
  </r>
  <r>
    <x v="1"/>
    <x v="0"/>
    <x v="0"/>
    <x v="0"/>
    <x v="0"/>
    <n v="2395.5"/>
    <n v="1597"/>
    <s v="152"/>
  </r>
  <r>
    <x v="1"/>
    <x v="0"/>
    <x v="0"/>
    <x v="0"/>
    <x v="0"/>
    <n v="11761.5"/>
    <n v="7841"/>
    <s v="153"/>
  </r>
  <r>
    <x v="1"/>
    <x v="0"/>
    <x v="1"/>
    <x v="0"/>
    <x v="0"/>
    <n v="8943"/>
    <n v="5962"/>
    <s v="154"/>
  </r>
  <r>
    <x v="1"/>
    <x v="0"/>
    <x v="1"/>
    <x v="1"/>
    <x v="1"/>
    <n v="14596.5"/>
    <n v="9731"/>
    <s v="155"/>
  </r>
  <r>
    <x v="1"/>
    <x v="0"/>
    <x v="2"/>
    <x v="1"/>
    <x v="1"/>
    <n v="8793"/>
    <n v="5862"/>
    <s v="156"/>
  </r>
  <r>
    <x v="1"/>
    <x v="0"/>
    <x v="1"/>
    <x v="1"/>
    <x v="1"/>
    <n v="14596.5"/>
    <n v="9731"/>
    <s v="157"/>
  </r>
  <r>
    <x v="1"/>
    <x v="0"/>
    <x v="2"/>
    <x v="1"/>
    <x v="1"/>
    <n v="8793"/>
    <n v="5862"/>
    <s v="158"/>
  </r>
  <r>
    <x v="1"/>
    <x v="0"/>
    <x v="0"/>
    <x v="2"/>
    <x v="2"/>
    <n v="4666"/>
    <n v="5623"/>
    <s v="159"/>
  </r>
  <r>
    <x v="1"/>
    <x v="0"/>
    <x v="0"/>
    <x v="2"/>
    <x v="2"/>
    <n v="7318.5"/>
    <n v="4879"/>
    <s v="160"/>
  </r>
  <r>
    <x v="1"/>
    <x v="0"/>
    <x v="0"/>
    <x v="2"/>
    <x v="2"/>
    <n v="4666"/>
    <n v="5623"/>
    <s v="161"/>
  </r>
  <r>
    <x v="1"/>
    <x v="0"/>
    <x v="0"/>
    <x v="2"/>
    <x v="2"/>
    <n v="7318.5"/>
    <n v="4879"/>
    <s v="162"/>
  </r>
  <r>
    <x v="1"/>
    <x v="0"/>
    <x v="3"/>
    <x v="3"/>
    <x v="3"/>
    <n v="3553.5"/>
    <n v="2369"/>
    <s v="163"/>
  </r>
  <r>
    <x v="1"/>
    <x v="0"/>
    <x v="3"/>
    <x v="3"/>
    <x v="3"/>
    <n v="3553.5"/>
    <n v="2369"/>
    <s v="164"/>
  </r>
  <r>
    <x v="1"/>
    <x v="0"/>
    <x v="1"/>
    <x v="4"/>
    <x v="1"/>
    <n v="14596.5"/>
    <n v="9731"/>
    <s v="165"/>
  </r>
  <r>
    <x v="1"/>
    <x v="0"/>
    <x v="2"/>
    <x v="4"/>
    <x v="1"/>
    <n v="8793"/>
    <n v="5862"/>
    <s v="166"/>
  </r>
  <r>
    <x v="1"/>
    <x v="0"/>
    <x v="1"/>
    <x v="4"/>
    <x v="1"/>
    <n v="14596.5"/>
    <n v="9731"/>
    <s v="167"/>
  </r>
  <r>
    <x v="1"/>
    <x v="0"/>
    <x v="2"/>
    <x v="4"/>
    <x v="1"/>
    <n v="8793"/>
    <n v="5862"/>
    <s v="168"/>
  </r>
  <r>
    <x v="1"/>
    <x v="1"/>
    <x v="0"/>
    <x v="0"/>
    <x v="0"/>
    <n v="4887"/>
    <n v="3258"/>
    <s v="169"/>
  </r>
  <r>
    <x v="1"/>
    <x v="1"/>
    <x v="0"/>
    <x v="0"/>
    <x v="0"/>
    <n v="4887"/>
    <n v="3258"/>
    <s v="170"/>
  </r>
  <r>
    <x v="1"/>
    <x v="1"/>
    <x v="2"/>
    <x v="1"/>
    <x v="1"/>
    <n v="11122.5"/>
    <n v="7415"/>
    <s v="171"/>
  </r>
  <r>
    <x v="1"/>
    <x v="1"/>
    <x v="0"/>
    <x v="1"/>
    <x v="1"/>
    <n v="13428"/>
    <n v="8952"/>
    <s v="172"/>
  </r>
  <r>
    <x v="1"/>
    <x v="1"/>
    <x v="2"/>
    <x v="1"/>
    <x v="1"/>
    <n v="11122.5"/>
    <n v="7415"/>
    <s v="173"/>
  </r>
  <r>
    <x v="1"/>
    <x v="1"/>
    <x v="0"/>
    <x v="1"/>
    <x v="1"/>
    <n v="13428"/>
    <n v="8952"/>
    <s v="174"/>
  </r>
  <r>
    <x v="1"/>
    <x v="1"/>
    <x v="1"/>
    <x v="2"/>
    <x v="2"/>
    <n v="3897"/>
    <n v="2598"/>
    <s v="175"/>
  </r>
  <r>
    <x v="1"/>
    <x v="1"/>
    <x v="1"/>
    <x v="2"/>
    <x v="2"/>
    <n v="8832"/>
    <n v="5888"/>
    <s v="176"/>
  </r>
  <r>
    <x v="1"/>
    <x v="1"/>
    <x v="1"/>
    <x v="2"/>
    <x v="2"/>
    <n v="3897"/>
    <n v="2598"/>
    <s v="177"/>
  </r>
  <r>
    <x v="1"/>
    <x v="1"/>
    <x v="1"/>
    <x v="2"/>
    <x v="2"/>
    <n v="8832"/>
    <n v="5888"/>
    <s v="178"/>
  </r>
  <r>
    <x v="1"/>
    <x v="1"/>
    <x v="2"/>
    <x v="3"/>
    <x v="3"/>
    <n v="11122.5"/>
    <n v="7415"/>
    <s v="179"/>
  </r>
  <r>
    <x v="1"/>
    <x v="1"/>
    <x v="1"/>
    <x v="3"/>
    <x v="3"/>
    <n v="14647.5"/>
    <n v="9765"/>
    <s v="180"/>
  </r>
  <r>
    <x v="1"/>
    <x v="1"/>
    <x v="2"/>
    <x v="3"/>
    <x v="3"/>
    <n v="11122.5"/>
    <n v="7415"/>
    <s v="181"/>
  </r>
  <r>
    <x v="1"/>
    <x v="1"/>
    <x v="1"/>
    <x v="3"/>
    <x v="3"/>
    <n v="14647.5"/>
    <n v="9765"/>
    <s v="182"/>
  </r>
  <r>
    <x v="1"/>
    <x v="1"/>
    <x v="0"/>
    <x v="4"/>
    <x v="1"/>
    <n v="13428"/>
    <n v="8952"/>
    <s v="183"/>
  </r>
  <r>
    <x v="1"/>
    <x v="1"/>
    <x v="3"/>
    <x v="4"/>
    <x v="1"/>
    <n v="7480.5"/>
    <n v="4987"/>
    <s v="184"/>
  </r>
  <r>
    <x v="1"/>
    <x v="1"/>
    <x v="0"/>
    <x v="4"/>
    <x v="1"/>
    <n v="13428"/>
    <n v="8952"/>
    <s v="185"/>
  </r>
  <r>
    <x v="1"/>
    <x v="1"/>
    <x v="3"/>
    <x v="4"/>
    <x v="1"/>
    <n v="7480.5"/>
    <n v="4987"/>
    <s v="186"/>
  </r>
  <r>
    <x v="1"/>
    <x v="2"/>
    <x v="2"/>
    <x v="0"/>
    <x v="0"/>
    <n v="14619"/>
    <n v="9746"/>
    <s v="187"/>
  </r>
  <r>
    <x v="1"/>
    <x v="2"/>
    <x v="0"/>
    <x v="0"/>
    <x v="0"/>
    <n v="867"/>
    <n v="578"/>
    <s v="188"/>
  </r>
  <r>
    <x v="1"/>
    <x v="2"/>
    <x v="2"/>
    <x v="0"/>
    <x v="0"/>
    <n v="14619"/>
    <n v="9746"/>
    <s v="189"/>
  </r>
  <r>
    <x v="1"/>
    <x v="2"/>
    <x v="0"/>
    <x v="0"/>
    <x v="0"/>
    <n v="867"/>
    <n v="578"/>
    <s v="190"/>
  </r>
  <r>
    <x v="1"/>
    <x v="2"/>
    <x v="2"/>
    <x v="1"/>
    <x v="1"/>
    <n v="14619"/>
    <n v="9746"/>
    <s v="191"/>
  </r>
  <r>
    <x v="1"/>
    <x v="2"/>
    <x v="0"/>
    <x v="1"/>
    <x v="1"/>
    <n v="5380.5"/>
    <n v="3587"/>
    <s v="192"/>
  </r>
  <r>
    <x v="1"/>
    <x v="2"/>
    <x v="2"/>
    <x v="1"/>
    <x v="1"/>
    <n v="14619"/>
    <n v="9746"/>
    <s v="193"/>
  </r>
  <r>
    <x v="1"/>
    <x v="2"/>
    <x v="0"/>
    <x v="1"/>
    <x v="1"/>
    <n v="5380.5"/>
    <n v="3587"/>
    <s v="194"/>
  </r>
  <r>
    <x v="1"/>
    <x v="2"/>
    <x v="2"/>
    <x v="2"/>
    <x v="2"/>
    <n v="3547.5"/>
    <n v="2365"/>
    <s v="195"/>
  </r>
  <r>
    <x v="1"/>
    <x v="2"/>
    <x v="1"/>
    <x v="2"/>
    <x v="2"/>
    <n v="14596.5"/>
    <n v="9731"/>
    <s v="196"/>
  </r>
  <r>
    <x v="1"/>
    <x v="2"/>
    <x v="2"/>
    <x v="2"/>
    <x v="2"/>
    <n v="3547.5"/>
    <n v="2365"/>
    <s v="197"/>
  </r>
  <r>
    <x v="1"/>
    <x v="2"/>
    <x v="1"/>
    <x v="2"/>
    <x v="2"/>
    <n v="14596.5"/>
    <n v="9731"/>
    <s v="198"/>
  </r>
  <r>
    <x v="1"/>
    <x v="2"/>
    <x v="1"/>
    <x v="3"/>
    <x v="3"/>
    <n v="1498.5"/>
    <n v="999"/>
    <s v="199"/>
  </r>
  <r>
    <x v="1"/>
    <x v="2"/>
    <x v="2"/>
    <x v="3"/>
    <x v="3"/>
    <n v="235.5"/>
    <n v="157"/>
    <s v="200"/>
  </r>
  <r>
    <x v="1"/>
    <x v="2"/>
    <x v="1"/>
    <x v="3"/>
    <x v="3"/>
    <n v="1498.5"/>
    <n v="999"/>
    <s v="201"/>
  </r>
  <r>
    <x v="1"/>
    <x v="2"/>
    <x v="2"/>
    <x v="3"/>
    <x v="3"/>
    <n v="235.5"/>
    <n v="157"/>
    <s v="202"/>
  </r>
  <r>
    <x v="1"/>
    <x v="2"/>
    <x v="0"/>
    <x v="4"/>
    <x v="1"/>
    <n v="5380.5"/>
    <n v="3587"/>
    <s v="203"/>
  </r>
  <r>
    <x v="1"/>
    <x v="2"/>
    <x v="3"/>
    <x v="4"/>
    <x v="1"/>
    <n v="14446.5"/>
    <n v="9631"/>
    <s v="204"/>
  </r>
  <r>
    <x v="1"/>
    <x v="2"/>
    <x v="0"/>
    <x v="4"/>
    <x v="1"/>
    <n v="5380.5"/>
    <n v="3587"/>
    <s v="205"/>
  </r>
  <r>
    <x v="1"/>
    <x v="2"/>
    <x v="3"/>
    <x v="4"/>
    <x v="1"/>
    <n v="14446.5"/>
    <n v="9631"/>
    <s v="206"/>
  </r>
  <r>
    <x v="1"/>
    <x v="3"/>
    <x v="3"/>
    <x v="0"/>
    <x v="0"/>
    <n v="2367"/>
    <n v="1578"/>
    <s v="207"/>
  </r>
  <r>
    <x v="1"/>
    <x v="3"/>
    <x v="2"/>
    <x v="0"/>
    <x v="0"/>
    <n v="6880.5"/>
    <n v="4587"/>
    <s v="208"/>
  </r>
  <r>
    <x v="1"/>
    <x v="3"/>
    <x v="3"/>
    <x v="0"/>
    <x v="0"/>
    <n v="2367"/>
    <n v="1578"/>
    <s v="209"/>
  </r>
  <r>
    <x v="1"/>
    <x v="3"/>
    <x v="2"/>
    <x v="0"/>
    <x v="0"/>
    <n v="6880.5"/>
    <n v="4587"/>
    <s v="210"/>
  </r>
  <r>
    <x v="1"/>
    <x v="3"/>
    <x v="0"/>
    <x v="1"/>
    <x v="1"/>
    <n v="11838"/>
    <n v="7892"/>
    <s v="211"/>
  </r>
  <r>
    <x v="1"/>
    <x v="3"/>
    <x v="3"/>
    <x v="1"/>
    <x v="1"/>
    <n v="2367"/>
    <n v="1578"/>
    <s v="212"/>
  </r>
  <r>
    <x v="1"/>
    <x v="3"/>
    <x v="0"/>
    <x v="1"/>
    <x v="1"/>
    <n v="7030.5"/>
    <n v="4687"/>
    <s v="213"/>
  </r>
  <r>
    <x v="1"/>
    <x v="3"/>
    <x v="1"/>
    <x v="1"/>
    <x v="1"/>
    <n v="2046"/>
    <n v="1364"/>
    <s v="214"/>
  </r>
  <r>
    <x v="1"/>
    <x v="3"/>
    <x v="0"/>
    <x v="1"/>
    <x v="1"/>
    <n v="11838"/>
    <n v="7892"/>
    <s v="215"/>
  </r>
  <r>
    <x v="1"/>
    <x v="3"/>
    <x v="3"/>
    <x v="1"/>
    <x v="1"/>
    <n v="2367"/>
    <n v="1578"/>
    <s v="216"/>
  </r>
  <r>
    <x v="1"/>
    <x v="3"/>
    <x v="0"/>
    <x v="1"/>
    <x v="1"/>
    <n v="7030.5"/>
    <n v="4687"/>
    <s v="217"/>
  </r>
  <r>
    <x v="1"/>
    <x v="3"/>
    <x v="1"/>
    <x v="1"/>
    <x v="1"/>
    <n v="2046"/>
    <n v="1364"/>
    <s v="218"/>
  </r>
  <r>
    <x v="1"/>
    <x v="3"/>
    <x v="2"/>
    <x v="2"/>
    <x v="2"/>
    <n v="8793"/>
    <n v="5862"/>
    <s v="219"/>
  </r>
  <r>
    <x v="1"/>
    <x v="3"/>
    <x v="2"/>
    <x v="2"/>
    <x v="2"/>
    <n v="11122.5"/>
    <n v="7415"/>
    <s v="220"/>
  </r>
  <r>
    <x v="1"/>
    <x v="3"/>
    <x v="0"/>
    <x v="2"/>
    <x v="2"/>
    <n v="13428"/>
    <n v="8952"/>
    <s v="221"/>
  </r>
  <r>
    <x v="1"/>
    <x v="3"/>
    <x v="2"/>
    <x v="2"/>
    <x v="2"/>
    <n v="14619"/>
    <n v="9746"/>
    <s v="222"/>
  </r>
  <r>
    <x v="1"/>
    <x v="3"/>
    <x v="3"/>
    <x v="2"/>
    <x v="2"/>
    <n v="2367"/>
    <n v="1578"/>
    <s v="223"/>
  </r>
  <r>
    <x v="1"/>
    <x v="3"/>
    <x v="2"/>
    <x v="2"/>
    <x v="2"/>
    <n v="8793"/>
    <n v="5862"/>
    <s v="224"/>
  </r>
  <r>
    <x v="1"/>
    <x v="3"/>
    <x v="2"/>
    <x v="2"/>
    <x v="2"/>
    <n v="11122.5"/>
    <n v="7415"/>
    <s v="225"/>
  </r>
  <r>
    <x v="1"/>
    <x v="3"/>
    <x v="0"/>
    <x v="2"/>
    <x v="2"/>
    <n v="13428"/>
    <n v="8952"/>
    <s v="226"/>
  </r>
  <r>
    <x v="1"/>
    <x v="3"/>
    <x v="2"/>
    <x v="2"/>
    <x v="2"/>
    <n v="14619"/>
    <n v="9746"/>
    <s v="227"/>
  </r>
  <r>
    <x v="1"/>
    <x v="3"/>
    <x v="3"/>
    <x v="2"/>
    <x v="2"/>
    <n v="2367"/>
    <n v="1578"/>
    <s v="228"/>
  </r>
  <r>
    <x v="1"/>
    <x v="3"/>
    <x v="0"/>
    <x v="3"/>
    <x v="3"/>
    <n v="11838"/>
    <n v="7892"/>
    <s v="229"/>
  </r>
  <r>
    <x v="1"/>
    <x v="3"/>
    <x v="0"/>
    <x v="3"/>
    <x v="3"/>
    <n v="11979"/>
    <n v="7986"/>
    <s v="230"/>
  </r>
  <r>
    <x v="1"/>
    <x v="3"/>
    <x v="0"/>
    <x v="3"/>
    <x v="3"/>
    <n v="11838"/>
    <n v="7892"/>
    <s v="231"/>
  </r>
  <r>
    <x v="1"/>
    <x v="3"/>
    <x v="0"/>
    <x v="3"/>
    <x v="3"/>
    <n v="11979"/>
    <n v="7986"/>
    <s v="232"/>
  </r>
  <r>
    <x v="1"/>
    <x v="3"/>
    <x v="0"/>
    <x v="4"/>
    <x v="1"/>
    <n v="7030.5"/>
    <n v="4687"/>
    <s v="233"/>
  </r>
  <r>
    <x v="1"/>
    <x v="3"/>
    <x v="1"/>
    <x v="4"/>
    <x v="1"/>
    <n v="2046"/>
    <n v="1364"/>
    <s v="234"/>
  </r>
  <r>
    <x v="1"/>
    <x v="3"/>
    <x v="0"/>
    <x v="4"/>
    <x v="1"/>
    <n v="7030.5"/>
    <n v="4687"/>
    <s v="235"/>
  </r>
  <r>
    <x v="1"/>
    <x v="3"/>
    <x v="1"/>
    <x v="4"/>
    <x v="1"/>
    <n v="2046"/>
    <n v="1364"/>
    <s v="236"/>
  </r>
  <r>
    <x v="1"/>
    <x v="4"/>
    <x v="1"/>
    <x v="0"/>
    <x v="0"/>
    <n v="747"/>
    <n v="498"/>
    <s v="237"/>
  </r>
  <r>
    <x v="1"/>
    <x v="4"/>
    <x v="3"/>
    <x v="0"/>
    <x v="0"/>
    <n v="7342.5"/>
    <n v="4895"/>
    <s v="238"/>
  </r>
  <r>
    <x v="1"/>
    <x v="4"/>
    <x v="1"/>
    <x v="0"/>
    <x v="0"/>
    <n v="747"/>
    <n v="498"/>
    <s v="239"/>
  </r>
  <r>
    <x v="1"/>
    <x v="4"/>
    <x v="3"/>
    <x v="0"/>
    <x v="0"/>
    <n v="7342.5"/>
    <n v="4895"/>
    <s v="240"/>
  </r>
  <r>
    <x v="1"/>
    <x v="4"/>
    <x v="3"/>
    <x v="1"/>
    <x v="1"/>
    <n v="7344"/>
    <n v="4896"/>
    <s v="241"/>
  </r>
  <r>
    <x v="1"/>
    <x v="4"/>
    <x v="0"/>
    <x v="1"/>
    <x v="1"/>
    <n v="6880.5"/>
    <n v="4587"/>
    <s v="242"/>
  </r>
  <r>
    <x v="1"/>
    <x v="4"/>
    <x v="3"/>
    <x v="1"/>
    <x v="1"/>
    <n v="7344"/>
    <n v="4896"/>
    <s v="243"/>
  </r>
  <r>
    <x v="1"/>
    <x v="4"/>
    <x v="0"/>
    <x v="1"/>
    <x v="1"/>
    <n v="6880.5"/>
    <n v="4587"/>
    <s v="244"/>
  </r>
  <r>
    <x v="1"/>
    <x v="4"/>
    <x v="0"/>
    <x v="2"/>
    <x v="2"/>
    <n v="5380.5"/>
    <n v="3587"/>
    <s v="245"/>
  </r>
  <r>
    <x v="1"/>
    <x v="4"/>
    <x v="0"/>
    <x v="2"/>
    <x v="2"/>
    <n v="11838"/>
    <n v="7892"/>
    <s v="246"/>
  </r>
  <r>
    <x v="1"/>
    <x v="4"/>
    <x v="0"/>
    <x v="2"/>
    <x v="2"/>
    <n v="5380.5"/>
    <n v="3587"/>
    <s v="247"/>
  </r>
  <r>
    <x v="1"/>
    <x v="4"/>
    <x v="0"/>
    <x v="2"/>
    <x v="2"/>
    <n v="11838"/>
    <n v="7892"/>
    <s v="248"/>
  </r>
  <r>
    <x v="1"/>
    <x v="4"/>
    <x v="3"/>
    <x v="3"/>
    <x v="3"/>
    <n v="7344"/>
    <n v="4896"/>
    <s v="249"/>
  </r>
  <r>
    <x v="1"/>
    <x v="4"/>
    <x v="0"/>
    <x v="3"/>
    <x v="3"/>
    <n v="6880.5"/>
    <n v="4587"/>
    <s v="250"/>
  </r>
  <r>
    <x v="1"/>
    <x v="4"/>
    <x v="0"/>
    <x v="3"/>
    <x v="3"/>
    <n v="7318.5"/>
    <n v="4879"/>
    <s v="251"/>
  </r>
  <r>
    <x v="1"/>
    <x v="4"/>
    <x v="3"/>
    <x v="3"/>
    <x v="3"/>
    <n v="7344"/>
    <n v="4896"/>
    <s v="252"/>
  </r>
  <r>
    <x v="1"/>
    <x v="4"/>
    <x v="0"/>
    <x v="3"/>
    <x v="3"/>
    <n v="6880.5"/>
    <n v="4587"/>
    <s v="253"/>
  </r>
  <r>
    <x v="1"/>
    <x v="4"/>
    <x v="0"/>
    <x v="3"/>
    <x v="3"/>
    <n v="7318.5"/>
    <n v="4879"/>
    <s v="254"/>
  </r>
  <r>
    <x v="1"/>
    <x v="4"/>
    <x v="2"/>
    <x v="4"/>
    <x v="1"/>
    <n v="6880.5"/>
    <n v="4587"/>
    <s v="255"/>
  </r>
  <r>
    <x v="1"/>
    <x v="4"/>
    <x v="0"/>
    <x v="4"/>
    <x v="1"/>
    <n v="9486"/>
    <n v="6324"/>
    <s v="256"/>
  </r>
  <r>
    <x v="1"/>
    <x v="4"/>
    <x v="2"/>
    <x v="4"/>
    <x v="1"/>
    <n v="6880.5"/>
    <n v="4587"/>
    <s v="257"/>
  </r>
  <r>
    <x v="1"/>
    <x v="4"/>
    <x v="0"/>
    <x v="4"/>
    <x v="1"/>
    <n v="9486"/>
    <n v="6324"/>
    <s v="258"/>
  </r>
  <r>
    <x v="1"/>
    <x v="5"/>
    <x v="0"/>
    <x v="0"/>
    <x v="0"/>
    <n v="4666"/>
    <n v="5623"/>
    <s v="259"/>
  </r>
  <r>
    <x v="1"/>
    <x v="5"/>
    <x v="0"/>
    <x v="0"/>
    <x v="0"/>
    <n v="10992"/>
    <n v="7328"/>
    <s v="260"/>
  </r>
  <r>
    <x v="1"/>
    <x v="5"/>
    <x v="0"/>
    <x v="0"/>
    <x v="0"/>
    <n v="4666"/>
    <n v="5623"/>
    <s v="261"/>
  </r>
  <r>
    <x v="1"/>
    <x v="5"/>
    <x v="0"/>
    <x v="0"/>
    <x v="0"/>
    <n v="10992"/>
    <n v="7328"/>
    <s v="262"/>
  </r>
  <r>
    <x v="1"/>
    <x v="5"/>
    <x v="0"/>
    <x v="1"/>
    <x v="1"/>
    <n v="4666"/>
    <n v="5623"/>
    <s v="263"/>
  </r>
  <r>
    <x v="1"/>
    <x v="5"/>
    <x v="1"/>
    <x v="1"/>
    <x v="1"/>
    <n v="3897"/>
    <n v="2598"/>
    <s v="264"/>
  </r>
  <r>
    <x v="1"/>
    <x v="5"/>
    <x v="0"/>
    <x v="1"/>
    <x v="1"/>
    <n v="4666"/>
    <n v="5623"/>
    <s v="265"/>
  </r>
  <r>
    <x v="1"/>
    <x v="5"/>
    <x v="1"/>
    <x v="1"/>
    <x v="1"/>
    <n v="3897"/>
    <n v="2598"/>
    <s v="266"/>
  </r>
  <r>
    <x v="1"/>
    <x v="5"/>
    <x v="1"/>
    <x v="2"/>
    <x v="2"/>
    <n v="747"/>
    <n v="498"/>
    <s v="267"/>
  </r>
  <r>
    <x v="1"/>
    <x v="5"/>
    <x v="2"/>
    <x v="2"/>
    <x v="2"/>
    <n v="6880.5"/>
    <n v="4587"/>
    <s v="268"/>
  </r>
  <r>
    <x v="1"/>
    <x v="5"/>
    <x v="1"/>
    <x v="2"/>
    <x v="2"/>
    <n v="747"/>
    <n v="498"/>
    <s v="269"/>
  </r>
  <r>
    <x v="1"/>
    <x v="5"/>
    <x v="2"/>
    <x v="2"/>
    <x v="2"/>
    <n v="6880.5"/>
    <n v="4587"/>
    <s v="270"/>
  </r>
  <r>
    <x v="1"/>
    <x v="5"/>
    <x v="1"/>
    <x v="3"/>
    <x v="3"/>
    <n v="3897"/>
    <n v="2598"/>
    <s v="271"/>
  </r>
  <r>
    <x v="1"/>
    <x v="5"/>
    <x v="3"/>
    <x v="3"/>
    <x v="3"/>
    <n v="3084"/>
    <n v="2056"/>
    <s v="272"/>
  </r>
  <r>
    <x v="1"/>
    <x v="5"/>
    <x v="1"/>
    <x v="3"/>
    <x v="3"/>
    <n v="3897"/>
    <n v="2598"/>
    <s v="273"/>
  </r>
  <r>
    <x v="1"/>
    <x v="5"/>
    <x v="3"/>
    <x v="3"/>
    <x v="3"/>
    <n v="3084"/>
    <n v="2056"/>
    <s v="274"/>
  </r>
  <r>
    <x v="1"/>
    <x v="5"/>
    <x v="2"/>
    <x v="4"/>
    <x v="1"/>
    <n v="12370.5"/>
    <n v="8247"/>
    <s v="275"/>
  </r>
  <r>
    <x v="1"/>
    <x v="5"/>
    <x v="0"/>
    <x v="4"/>
    <x v="1"/>
    <n v="13231.5"/>
    <n v="8821"/>
    <s v="276"/>
  </r>
  <r>
    <x v="1"/>
    <x v="5"/>
    <x v="2"/>
    <x v="4"/>
    <x v="1"/>
    <n v="12370.5"/>
    <n v="8247"/>
    <s v="277"/>
  </r>
  <r>
    <x v="1"/>
    <x v="5"/>
    <x v="0"/>
    <x v="4"/>
    <x v="1"/>
    <n v="13231.5"/>
    <n v="8821"/>
    <s v="278"/>
  </r>
  <r>
    <x v="1"/>
    <x v="6"/>
    <x v="1"/>
    <x v="0"/>
    <x v="0"/>
    <n v="8832"/>
    <n v="5888"/>
    <s v="279"/>
  </r>
  <r>
    <x v="1"/>
    <x v="6"/>
    <x v="0"/>
    <x v="0"/>
    <x v="0"/>
    <n v="13413"/>
    <n v="8942"/>
    <s v="280"/>
  </r>
  <r>
    <x v="1"/>
    <x v="6"/>
    <x v="3"/>
    <x v="0"/>
    <x v="0"/>
    <n v="4026"/>
    <n v="2684"/>
    <s v="281"/>
  </r>
  <r>
    <x v="1"/>
    <x v="6"/>
    <x v="1"/>
    <x v="0"/>
    <x v="0"/>
    <n v="8832"/>
    <n v="5888"/>
    <s v="282"/>
  </r>
  <r>
    <x v="1"/>
    <x v="6"/>
    <x v="0"/>
    <x v="0"/>
    <x v="0"/>
    <n v="13413"/>
    <n v="8942"/>
    <s v="283"/>
  </r>
  <r>
    <x v="1"/>
    <x v="6"/>
    <x v="3"/>
    <x v="0"/>
    <x v="0"/>
    <n v="4026"/>
    <n v="2684"/>
    <s v="284"/>
  </r>
  <r>
    <x v="1"/>
    <x v="6"/>
    <x v="1"/>
    <x v="1"/>
    <x v="1"/>
    <n v="8832"/>
    <n v="5888"/>
    <s v="285"/>
  </r>
  <r>
    <x v="1"/>
    <x v="6"/>
    <x v="2"/>
    <x v="1"/>
    <x v="1"/>
    <n v="3547.5"/>
    <n v="2365"/>
    <s v="286"/>
  </r>
  <r>
    <x v="1"/>
    <x v="6"/>
    <x v="1"/>
    <x v="1"/>
    <x v="1"/>
    <n v="8832"/>
    <n v="5888"/>
    <s v="287"/>
  </r>
  <r>
    <x v="1"/>
    <x v="6"/>
    <x v="2"/>
    <x v="1"/>
    <x v="1"/>
    <n v="3547.5"/>
    <n v="2365"/>
    <s v="288"/>
  </r>
  <r>
    <x v="1"/>
    <x v="6"/>
    <x v="0"/>
    <x v="2"/>
    <x v="2"/>
    <n v="9486"/>
    <n v="6324"/>
    <s v="289"/>
  </r>
  <r>
    <x v="1"/>
    <x v="6"/>
    <x v="3"/>
    <x v="2"/>
    <x v="2"/>
    <n v="7342.5"/>
    <n v="4895"/>
    <s v="290"/>
  </r>
  <r>
    <x v="1"/>
    <x v="6"/>
    <x v="0"/>
    <x v="2"/>
    <x v="2"/>
    <n v="9486"/>
    <n v="6324"/>
    <s v="291"/>
  </r>
  <r>
    <x v="1"/>
    <x v="6"/>
    <x v="3"/>
    <x v="2"/>
    <x v="2"/>
    <n v="7342.5"/>
    <n v="4895"/>
    <s v="292"/>
  </r>
  <r>
    <x v="1"/>
    <x v="6"/>
    <x v="2"/>
    <x v="3"/>
    <x v="3"/>
    <n v="3547.5"/>
    <n v="2365"/>
    <s v="293"/>
  </r>
  <r>
    <x v="1"/>
    <x v="6"/>
    <x v="0"/>
    <x v="3"/>
    <x v="3"/>
    <n v="3238.5"/>
    <n v="2159"/>
    <s v="294"/>
  </r>
  <r>
    <x v="1"/>
    <x v="6"/>
    <x v="2"/>
    <x v="3"/>
    <x v="3"/>
    <n v="3547.5"/>
    <n v="2365"/>
    <s v="295"/>
  </r>
  <r>
    <x v="1"/>
    <x v="6"/>
    <x v="0"/>
    <x v="3"/>
    <x v="3"/>
    <n v="3238.5"/>
    <n v="2159"/>
    <s v="296"/>
  </r>
  <r>
    <x v="2"/>
    <x v="0"/>
    <x v="0"/>
    <x v="0"/>
    <x v="0"/>
    <n v="2395.5"/>
    <n v="1597"/>
    <s v="297"/>
  </r>
  <r>
    <x v="2"/>
    <x v="0"/>
    <x v="0"/>
    <x v="0"/>
    <x v="0"/>
    <n v="11761.5"/>
    <n v="7841"/>
    <s v="298"/>
  </r>
  <r>
    <x v="2"/>
    <x v="0"/>
    <x v="1"/>
    <x v="0"/>
    <x v="0"/>
    <n v="8943"/>
    <n v="5962"/>
    <s v="299"/>
  </r>
  <r>
    <x v="2"/>
    <x v="0"/>
    <x v="0"/>
    <x v="0"/>
    <x v="0"/>
    <n v="2395.5"/>
    <n v="1597"/>
    <s v="300"/>
  </r>
  <r>
    <x v="2"/>
    <x v="0"/>
    <x v="0"/>
    <x v="0"/>
    <x v="0"/>
    <n v="11761.5"/>
    <n v="7841"/>
    <s v="301"/>
  </r>
  <r>
    <x v="2"/>
    <x v="0"/>
    <x v="1"/>
    <x v="0"/>
    <x v="0"/>
    <n v="8943"/>
    <n v="5962"/>
    <s v="302"/>
  </r>
  <r>
    <x v="2"/>
    <x v="0"/>
    <x v="1"/>
    <x v="1"/>
    <x v="1"/>
    <n v="14596.5"/>
    <n v="9731"/>
    <s v="303"/>
  </r>
  <r>
    <x v="2"/>
    <x v="0"/>
    <x v="2"/>
    <x v="1"/>
    <x v="1"/>
    <n v="8793"/>
    <n v="5862"/>
    <s v="304"/>
  </r>
  <r>
    <x v="2"/>
    <x v="0"/>
    <x v="1"/>
    <x v="1"/>
    <x v="1"/>
    <n v="14596.5"/>
    <n v="9731"/>
    <s v="305"/>
  </r>
  <r>
    <x v="2"/>
    <x v="0"/>
    <x v="2"/>
    <x v="1"/>
    <x v="1"/>
    <n v="8793"/>
    <n v="5862"/>
    <s v="306"/>
  </r>
  <r>
    <x v="2"/>
    <x v="0"/>
    <x v="0"/>
    <x v="2"/>
    <x v="2"/>
    <n v="4666"/>
    <n v="5623"/>
    <s v="307"/>
  </r>
  <r>
    <x v="2"/>
    <x v="0"/>
    <x v="0"/>
    <x v="2"/>
    <x v="2"/>
    <n v="7318.5"/>
    <n v="4879"/>
    <s v="308"/>
  </r>
  <r>
    <x v="2"/>
    <x v="0"/>
    <x v="0"/>
    <x v="2"/>
    <x v="2"/>
    <n v="4666"/>
    <n v="5623"/>
    <s v="309"/>
  </r>
  <r>
    <x v="2"/>
    <x v="0"/>
    <x v="0"/>
    <x v="2"/>
    <x v="2"/>
    <n v="7318.5"/>
    <n v="4879"/>
    <s v="310"/>
  </r>
  <r>
    <x v="2"/>
    <x v="0"/>
    <x v="3"/>
    <x v="3"/>
    <x v="3"/>
    <n v="3553.5"/>
    <n v="2369"/>
    <s v="311"/>
  </r>
  <r>
    <x v="2"/>
    <x v="0"/>
    <x v="3"/>
    <x v="3"/>
    <x v="3"/>
    <n v="3553.5"/>
    <n v="2369"/>
    <s v="312"/>
  </r>
  <r>
    <x v="2"/>
    <x v="0"/>
    <x v="1"/>
    <x v="4"/>
    <x v="1"/>
    <n v="14596.5"/>
    <n v="9731"/>
    <s v="313"/>
  </r>
  <r>
    <x v="2"/>
    <x v="0"/>
    <x v="2"/>
    <x v="4"/>
    <x v="1"/>
    <n v="8793"/>
    <n v="5862"/>
    <s v="314"/>
  </r>
  <r>
    <x v="2"/>
    <x v="0"/>
    <x v="1"/>
    <x v="4"/>
    <x v="1"/>
    <n v="14596.5"/>
    <n v="9731"/>
    <s v="315"/>
  </r>
  <r>
    <x v="2"/>
    <x v="0"/>
    <x v="2"/>
    <x v="4"/>
    <x v="1"/>
    <n v="8793"/>
    <n v="5862"/>
    <s v="316"/>
  </r>
  <r>
    <x v="2"/>
    <x v="1"/>
    <x v="0"/>
    <x v="0"/>
    <x v="0"/>
    <n v="4887"/>
    <n v="3258"/>
    <s v="317"/>
  </r>
  <r>
    <x v="2"/>
    <x v="1"/>
    <x v="0"/>
    <x v="0"/>
    <x v="0"/>
    <n v="4887"/>
    <n v="3258"/>
    <s v="318"/>
  </r>
  <r>
    <x v="2"/>
    <x v="1"/>
    <x v="2"/>
    <x v="1"/>
    <x v="1"/>
    <n v="11122.5"/>
    <n v="7415"/>
    <s v="319"/>
  </r>
  <r>
    <x v="2"/>
    <x v="1"/>
    <x v="0"/>
    <x v="1"/>
    <x v="1"/>
    <n v="13428"/>
    <n v="8952"/>
    <s v="320"/>
  </r>
  <r>
    <x v="2"/>
    <x v="1"/>
    <x v="2"/>
    <x v="1"/>
    <x v="1"/>
    <n v="11122.5"/>
    <n v="7415"/>
    <s v="321"/>
  </r>
  <r>
    <x v="2"/>
    <x v="1"/>
    <x v="0"/>
    <x v="1"/>
    <x v="1"/>
    <n v="13428"/>
    <n v="8952"/>
    <s v="322"/>
  </r>
  <r>
    <x v="2"/>
    <x v="1"/>
    <x v="1"/>
    <x v="2"/>
    <x v="2"/>
    <n v="3897"/>
    <n v="2598"/>
    <s v="323"/>
  </r>
  <r>
    <x v="2"/>
    <x v="1"/>
    <x v="1"/>
    <x v="2"/>
    <x v="2"/>
    <n v="8832"/>
    <n v="5888"/>
    <s v="324"/>
  </r>
  <r>
    <x v="2"/>
    <x v="1"/>
    <x v="1"/>
    <x v="2"/>
    <x v="2"/>
    <n v="3897"/>
    <n v="2598"/>
    <s v="325"/>
  </r>
  <r>
    <x v="2"/>
    <x v="1"/>
    <x v="1"/>
    <x v="2"/>
    <x v="2"/>
    <n v="8832"/>
    <n v="5888"/>
    <s v="326"/>
  </r>
  <r>
    <x v="2"/>
    <x v="1"/>
    <x v="2"/>
    <x v="3"/>
    <x v="3"/>
    <n v="11122.5"/>
    <n v="7415"/>
    <s v="327"/>
  </r>
  <r>
    <x v="2"/>
    <x v="1"/>
    <x v="1"/>
    <x v="3"/>
    <x v="3"/>
    <n v="14647.5"/>
    <n v="9765"/>
    <s v="328"/>
  </r>
  <r>
    <x v="2"/>
    <x v="1"/>
    <x v="2"/>
    <x v="3"/>
    <x v="3"/>
    <n v="11122.5"/>
    <n v="7415"/>
    <s v="329"/>
  </r>
  <r>
    <x v="2"/>
    <x v="1"/>
    <x v="1"/>
    <x v="3"/>
    <x v="3"/>
    <n v="14647.5"/>
    <n v="9765"/>
    <s v="330"/>
  </r>
  <r>
    <x v="2"/>
    <x v="1"/>
    <x v="0"/>
    <x v="4"/>
    <x v="1"/>
    <n v="13428"/>
    <n v="8952"/>
    <s v="331"/>
  </r>
  <r>
    <x v="2"/>
    <x v="1"/>
    <x v="3"/>
    <x v="4"/>
    <x v="1"/>
    <n v="7480.5"/>
    <n v="4987"/>
    <s v="332"/>
  </r>
  <r>
    <x v="2"/>
    <x v="1"/>
    <x v="0"/>
    <x v="4"/>
    <x v="1"/>
    <n v="13428"/>
    <n v="8952"/>
    <s v="333"/>
  </r>
  <r>
    <x v="2"/>
    <x v="1"/>
    <x v="3"/>
    <x v="4"/>
    <x v="1"/>
    <n v="7480.5"/>
    <n v="4987"/>
    <s v="334"/>
  </r>
  <r>
    <x v="2"/>
    <x v="2"/>
    <x v="2"/>
    <x v="0"/>
    <x v="0"/>
    <n v="14619"/>
    <n v="9746"/>
    <s v="335"/>
  </r>
  <r>
    <x v="2"/>
    <x v="2"/>
    <x v="0"/>
    <x v="0"/>
    <x v="0"/>
    <n v="867"/>
    <n v="578"/>
    <s v="336"/>
  </r>
  <r>
    <x v="2"/>
    <x v="2"/>
    <x v="2"/>
    <x v="0"/>
    <x v="0"/>
    <n v="14619"/>
    <n v="9746"/>
    <s v="337"/>
  </r>
  <r>
    <x v="2"/>
    <x v="2"/>
    <x v="0"/>
    <x v="0"/>
    <x v="0"/>
    <n v="867"/>
    <n v="578"/>
    <s v="338"/>
  </r>
  <r>
    <x v="2"/>
    <x v="2"/>
    <x v="2"/>
    <x v="1"/>
    <x v="1"/>
    <n v="14619"/>
    <n v="9746"/>
    <s v="339"/>
  </r>
  <r>
    <x v="2"/>
    <x v="2"/>
    <x v="0"/>
    <x v="1"/>
    <x v="1"/>
    <n v="5380.5"/>
    <n v="3587"/>
    <s v="340"/>
  </r>
  <r>
    <x v="2"/>
    <x v="2"/>
    <x v="2"/>
    <x v="1"/>
    <x v="1"/>
    <n v="14619"/>
    <n v="9746"/>
    <s v="341"/>
  </r>
  <r>
    <x v="2"/>
    <x v="2"/>
    <x v="0"/>
    <x v="1"/>
    <x v="1"/>
    <n v="5380.5"/>
    <n v="3587"/>
    <s v="342"/>
  </r>
  <r>
    <x v="2"/>
    <x v="2"/>
    <x v="2"/>
    <x v="2"/>
    <x v="2"/>
    <n v="3547.5"/>
    <n v="2365"/>
    <s v="343"/>
  </r>
  <r>
    <x v="2"/>
    <x v="2"/>
    <x v="1"/>
    <x v="2"/>
    <x v="2"/>
    <n v="14596.5"/>
    <n v="9731"/>
    <s v="344"/>
  </r>
  <r>
    <x v="2"/>
    <x v="2"/>
    <x v="2"/>
    <x v="2"/>
    <x v="2"/>
    <n v="3547.5"/>
    <n v="2365"/>
    <s v="345"/>
  </r>
  <r>
    <x v="2"/>
    <x v="2"/>
    <x v="1"/>
    <x v="2"/>
    <x v="2"/>
    <n v="14596.5"/>
    <n v="9731"/>
    <s v="346"/>
  </r>
  <r>
    <x v="2"/>
    <x v="2"/>
    <x v="1"/>
    <x v="3"/>
    <x v="3"/>
    <n v="1498.5"/>
    <n v="999"/>
    <s v="347"/>
  </r>
  <r>
    <x v="2"/>
    <x v="2"/>
    <x v="2"/>
    <x v="3"/>
    <x v="3"/>
    <n v="235.5"/>
    <n v="157"/>
    <s v="348"/>
  </r>
  <r>
    <x v="2"/>
    <x v="2"/>
    <x v="1"/>
    <x v="3"/>
    <x v="3"/>
    <n v="1498.5"/>
    <n v="999"/>
    <s v="349"/>
  </r>
  <r>
    <x v="2"/>
    <x v="2"/>
    <x v="2"/>
    <x v="3"/>
    <x v="3"/>
    <n v="235.5"/>
    <n v="157"/>
    <s v="350"/>
  </r>
  <r>
    <x v="2"/>
    <x v="2"/>
    <x v="0"/>
    <x v="4"/>
    <x v="1"/>
    <n v="5380.5"/>
    <n v="3587"/>
    <s v="351"/>
  </r>
  <r>
    <x v="2"/>
    <x v="2"/>
    <x v="3"/>
    <x v="4"/>
    <x v="1"/>
    <n v="14446.5"/>
    <n v="9631"/>
    <s v="352"/>
  </r>
  <r>
    <x v="2"/>
    <x v="2"/>
    <x v="0"/>
    <x v="4"/>
    <x v="1"/>
    <n v="5380.5"/>
    <n v="3587"/>
    <s v="353"/>
  </r>
  <r>
    <x v="2"/>
    <x v="2"/>
    <x v="3"/>
    <x v="4"/>
    <x v="1"/>
    <n v="14446.5"/>
    <n v="9631"/>
    <s v="354"/>
  </r>
  <r>
    <x v="2"/>
    <x v="3"/>
    <x v="3"/>
    <x v="0"/>
    <x v="0"/>
    <n v="2367"/>
    <n v="1578"/>
    <s v="355"/>
  </r>
  <r>
    <x v="2"/>
    <x v="3"/>
    <x v="2"/>
    <x v="0"/>
    <x v="0"/>
    <n v="6880.5"/>
    <n v="4587"/>
    <s v="356"/>
  </r>
  <r>
    <x v="2"/>
    <x v="3"/>
    <x v="3"/>
    <x v="0"/>
    <x v="0"/>
    <n v="2367"/>
    <n v="1578"/>
    <s v="357"/>
  </r>
  <r>
    <x v="2"/>
    <x v="3"/>
    <x v="2"/>
    <x v="0"/>
    <x v="0"/>
    <n v="6880.5"/>
    <n v="4587"/>
    <s v="358"/>
  </r>
  <r>
    <x v="2"/>
    <x v="3"/>
    <x v="0"/>
    <x v="1"/>
    <x v="1"/>
    <n v="11838"/>
    <n v="7892"/>
    <s v="359"/>
  </r>
  <r>
    <x v="2"/>
    <x v="3"/>
    <x v="3"/>
    <x v="1"/>
    <x v="1"/>
    <n v="2367"/>
    <n v="1578"/>
    <s v="360"/>
  </r>
  <r>
    <x v="2"/>
    <x v="3"/>
    <x v="0"/>
    <x v="1"/>
    <x v="1"/>
    <n v="7030.5"/>
    <n v="4687"/>
    <s v="361"/>
  </r>
  <r>
    <x v="2"/>
    <x v="3"/>
    <x v="1"/>
    <x v="1"/>
    <x v="1"/>
    <n v="2046"/>
    <n v="1364"/>
    <s v="362"/>
  </r>
  <r>
    <x v="2"/>
    <x v="3"/>
    <x v="0"/>
    <x v="1"/>
    <x v="1"/>
    <n v="11838"/>
    <n v="7892"/>
    <s v="363"/>
  </r>
  <r>
    <x v="2"/>
    <x v="3"/>
    <x v="3"/>
    <x v="1"/>
    <x v="1"/>
    <n v="2367"/>
    <n v="1578"/>
    <s v="364"/>
  </r>
  <r>
    <x v="2"/>
    <x v="3"/>
    <x v="0"/>
    <x v="1"/>
    <x v="1"/>
    <n v="7030.5"/>
    <n v="4687"/>
    <s v="365"/>
  </r>
  <r>
    <x v="2"/>
    <x v="3"/>
    <x v="1"/>
    <x v="1"/>
    <x v="1"/>
    <n v="2046"/>
    <n v="1364"/>
    <s v="366"/>
  </r>
  <r>
    <x v="2"/>
    <x v="3"/>
    <x v="2"/>
    <x v="2"/>
    <x v="2"/>
    <n v="8793"/>
    <n v="5862"/>
    <s v="367"/>
  </r>
  <r>
    <x v="2"/>
    <x v="3"/>
    <x v="2"/>
    <x v="2"/>
    <x v="2"/>
    <n v="11122.5"/>
    <n v="7415"/>
    <s v="368"/>
  </r>
  <r>
    <x v="2"/>
    <x v="3"/>
    <x v="0"/>
    <x v="2"/>
    <x v="2"/>
    <n v="13428"/>
    <n v="8952"/>
    <s v="369"/>
  </r>
  <r>
    <x v="2"/>
    <x v="3"/>
    <x v="2"/>
    <x v="2"/>
    <x v="2"/>
    <n v="14619"/>
    <n v="9746"/>
    <s v="370"/>
  </r>
  <r>
    <x v="2"/>
    <x v="3"/>
    <x v="3"/>
    <x v="2"/>
    <x v="2"/>
    <n v="2367"/>
    <n v="1578"/>
    <s v="371"/>
  </r>
  <r>
    <x v="2"/>
    <x v="3"/>
    <x v="2"/>
    <x v="2"/>
    <x v="2"/>
    <n v="8793"/>
    <n v="5862"/>
    <s v="372"/>
  </r>
  <r>
    <x v="2"/>
    <x v="3"/>
    <x v="2"/>
    <x v="2"/>
    <x v="2"/>
    <n v="11122.5"/>
    <n v="7415"/>
    <s v="373"/>
  </r>
  <r>
    <x v="2"/>
    <x v="3"/>
    <x v="0"/>
    <x v="2"/>
    <x v="2"/>
    <n v="13428"/>
    <n v="8952"/>
    <s v="374"/>
  </r>
  <r>
    <x v="2"/>
    <x v="3"/>
    <x v="2"/>
    <x v="2"/>
    <x v="2"/>
    <n v="14619"/>
    <n v="9746"/>
    <s v="375"/>
  </r>
  <r>
    <x v="2"/>
    <x v="3"/>
    <x v="3"/>
    <x v="2"/>
    <x v="2"/>
    <n v="2367"/>
    <n v="1578"/>
    <s v="376"/>
  </r>
  <r>
    <x v="2"/>
    <x v="3"/>
    <x v="0"/>
    <x v="3"/>
    <x v="3"/>
    <n v="11838"/>
    <n v="7892"/>
    <s v="377"/>
  </r>
  <r>
    <x v="2"/>
    <x v="3"/>
    <x v="0"/>
    <x v="3"/>
    <x v="3"/>
    <n v="11979"/>
    <n v="7986"/>
    <s v="378"/>
  </r>
  <r>
    <x v="2"/>
    <x v="3"/>
    <x v="0"/>
    <x v="3"/>
    <x v="3"/>
    <n v="11838"/>
    <n v="7892"/>
    <s v="379"/>
  </r>
  <r>
    <x v="2"/>
    <x v="3"/>
    <x v="0"/>
    <x v="3"/>
    <x v="3"/>
    <n v="11979"/>
    <n v="7986"/>
    <s v="380"/>
  </r>
  <r>
    <x v="2"/>
    <x v="3"/>
    <x v="0"/>
    <x v="4"/>
    <x v="1"/>
    <n v="7030.5"/>
    <n v="4687"/>
    <s v="381"/>
  </r>
  <r>
    <x v="2"/>
    <x v="3"/>
    <x v="1"/>
    <x v="4"/>
    <x v="1"/>
    <n v="2046"/>
    <n v="1364"/>
    <s v="382"/>
  </r>
  <r>
    <x v="2"/>
    <x v="3"/>
    <x v="0"/>
    <x v="4"/>
    <x v="1"/>
    <n v="7030.5"/>
    <n v="4687"/>
    <s v="383"/>
  </r>
  <r>
    <x v="2"/>
    <x v="3"/>
    <x v="1"/>
    <x v="4"/>
    <x v="1"/>
    <n v="2046"/>
    <n v="1364"/>
    <s v="384"/>
  </r>
  <r>
    <x v="2"/>
    <x v="4"/>
    <x v="1"/>
    <x v="0"/>
    <x v="0"/>
    <n v="747"/>
    <n v="498"/>
    <s v="385"/>
  </r>
  <r>
    <x v="2"/>
    <x v="4"/>
    <x v="3"/>
    <x v="0"/>
    <x v="0"/>
    <n v="7342.5"/>
    <n v="4895"/>
    <s v="386"/>
  </r>
  <r>
    <x v="2"/>
    <x v="4"/>
    <x v="1"/>
    <x v="0"/>
    <x v="0"/>
    <n v="747"/>
    <n v="498"/>
    <s v="387"/>
  </r>
  <r>
    <x v="2"/>
    <x v="4"/>
    <x v="3"/>
    <x v="0"/>
    <x v="0"/>
    <n v="7342.5"/>
    <n v="4895"/>
    <s v="388"/>
  </r>
  <r>
    <x v="2"/>
    <x v="4"/>
    <x v="3"/>
    <x v="1"/>
    <x v="1"/>
    <n v="7344"/>
    <n v="4896"/>
    <s v="389"/>
  </r>
  <r>
    <x v="2"/>
    <x v="4"/>
    <x v="0"/>
    <x v="1"/>
    <x v="1"/>
    <n v="6880.5"/>
    <n v="4587"/>
    <s v="390"/>
  </r>
  <r>
    <x v="2"/>
    <x v="4"/>
    <x v="3"/>
    <x v="1"/>
    <x v="1"/>
    <n v="7344"/>
    <n v="4896"/>
    <s v="391"/>
  </r>
  <r>
    <x v="2"/>
    <x v="4"/>
    <x v="0"/>
    <x v="1"/>
    <x v="1"/>
    <n v="6880.5"/>
    <n v="4587"/>
    <s v="392"/>
  </r>
  <r>
    <x v="2"/>
    <x v="4"/>
    <x v="0"/>
    <x v="2"/>
    <x v="2"/>
    <n v="5380.5"/>
    <n v="3587"/>
    <s v="393"/>
  </r>
  <r>
    <x v="2"/>
    <x v="4"/>
    <x v="0"/>
    <x v="2"/>
    <x v="2"/>
    <n v="11838"/>
    <n v="7892"/>
    <s v="394"/>
  </r>
  <r>
    <x v="2"/>
    <x v="4"/>
    <x v="0"/>
    <x v="2"/>
    <x v="2"/>
    <n v="5380.5"/>
    <n v="3587"/>
    <s v="395"/>
  </r>
  <r>
    <x v="2"/>
    <x v="4"/>
    <x v="0"/>
    <x v="2"/>
    <x v="2"/>
    <n v="11838"/>
    <n v="7892"/>
    <s v="396"/>
  </r>
  <r>
    <x v="2"/>
    <x v="4"/>
    <x v="3"/>
    <x v="3"/>
    <x v="3"/>
    <n v="7344"/>
    <n v="4896"/>
    <s v="397"/>
  </r>
  <r>
    <x v="2"/>
    <x v="4"/>
    <x v="0"/>
    <x v="3"/>
    <x v="3"/>
    <n v="6880.5"/>
    <n v="4587"/>
    <s v="398"/>
  </r>
  <r>
    <x v="2"/>
    <x v="4"/>
    <x v="0"/>
    <x v="3"/>
    <x v="3"/>
    <n v="7318.5"/>
    <n v="4879"/>
    <s v="399"/>
  </r>
  <r>
    <x v="2"/>
    <x v="4"/>
    <x v="3"/>
    <x v="3"/>
    <x v="3"/>
    <n v="7344"/>
    <n v="4896"/>
    <s v="400"/>
  </r>
  <r>
    <x v="2"/>
    <x v="4"/>
    <x v="0"/>
    <x v="3"/>
    <x v="3"/>
    <n v="6880.5"/>
    <n v="4587"/>
    <s v="401"/>
  </r>
  <r>
    <x v="2"/>
    <x v="4"/>
    <x v="0"/>
    <x v="3"/>
    <x v="3"/>
    <n v="7318.5"/>
    <n v="4879"/>
    <s v="402"/>
  </r>
  <r>
    <x v="2"/>
    <x v="4"/>
    <x v="2"/>
    <x v="4"/>
    <x v="1"/>
    <n v="6880.5"/>
    <n v="4587"/>
    <s v="403"/>
  </r>
  <r>
    <x v="2"/>
    <x v="4"/>
    <x v="0"/>
    <x v="4"/>
    <x v="1"/>
    <n v="9486"/>
    <n v="6324"/>
    <s v="404"/>
  </r>
  <r>
    <x v="2"/>
    <x v="4"/>
    <x v="2"/>
    <x v="4"/>
    <x v="1"/>
    <n v="6880.5"/>
    <n v="4587"/>
    <s v="405"/>
  </r>
  <r>
    <x v="2"/>
    <x v="4"/>
    <x v="0"/>
    <x v="4"/>
    <x v="1"/>
    <n v="9486"/>
    <n v="6324"/>
    <s v="406"/>
  </r>
  <r>
    <x v="2"/>
    <x v="5"/>
    <x v="0"/>
    <x v="0"/>
    <x v="0"/>
    <n v="4666"/>
    <n v="5623"/>
    <s v="407"/>
  </r>
  <r>
    <x v="2"/>
    <x v="5"/>
    <x v="0"/>
    <x v="0"/>
    <x v="0"/>
    <n v="10992"/>
    <n v="7328"/>
    <s v="408"/>
  </r>
  <r>
    <x v="2"/>
    <x v="5"/>
    <x v="0"/>
    <x v="0"/>
    <x v="0"/>
    <n v="4666"/>
    <n v="5623"/>
    <s v="409"/>
  </r>
  <r>
    <x v="2"/>
    <x v="5"/>
    <x v="0"/>
    <x v="0"/>
    <x v="0"/>
    <n v="10992"/>
    <n v="7328"/>
    <s v="410"/>
  </r>
  <r>
    <x v="2"/>
    <x v="5"/>
    <x v="0"/>
    <x v="1"/>
    <x v="1"/>
    <n v="4666"/>
    <n v="5623"/>
    <s v="411"/>
  </r>
  <r>
    <x v="2"/>
    <x v="5"/>
    <x v="1"/>
    <x v="1"/>
    <x v="1"/>
    <n v="3897"/>
    <n v="2598"/>
    <s v="412"/>
  </r>
  <r>
    <x v="2"/>
    <x v="5"/>
    <x v="0"/>
    <x v="1"/>
    <x v="1"/>
    <n v="4666"/>
    <n v="5623"/>
    <s v="413"/>
  </r>
  <r>
    <x v="2"/>
    <x v="5"/>
    <x v="1"/>
    <x v="1"/>
    <x v="1"/>
    <n v="3897"/>
    <n v="2598"/>
    <s v="414"/>
  </r>
  <r>
    <x v="2"/>
    <x v="5"/>
    <x v="1"/>
    <x v="2"/>
    <x v="2"/>
    <n v="747"/>
    <n v="498"/>
    <s v="415"/>
  </r>
  <r>
    <x v="2"/>
    <x v="5"/>
    <x v="2"/>
    <x v="2"/>
    <x v="2"/>
    <n v="6880.5"/>
    <n v="4587"/>
    <s v="416"/>
  </r>
  <r>
    <x v="2"/>
    <x v="5"/>
    <x v="1"/>
    <x v="2"/>
    <x v="2"/>
    <n v="747"/>
    <n v="498"/>
    <s v="417"/>
  </r>
  <r>
    <x v="2"/>
    <x v="5"/>
    <x v="2"/>
    <x v="2"/>
    <x v="2"/>
    <n v="6880.5"/>
    <n v="4587"/>
    <s v="418"/>
  </r>
  <r>
    <x v="2"/>
    <x v="5"/>
    <x v="1"/>
    <x v="3"/>
    <x v="3"/>
    <n v="3897"/>
    <n v="2598"/>
    <s v="419"/>
  </r>
  <r>
    <x v="2"/>
    <x v="5"/>
    <x v="3"/>
    <x v="3"/>
    <x v="3"/>
    <n v="3084"/>
    <n v="2056"/>
    <s v="420"/>
  </r>
  <r>
    <x v="2"/>
    <x v="5"/>
    <x v="1"/>
    <x v="3"/>
    <x v="3"/>
    <n v="3897"/>
    <n v="2598"/>
    <s v="421"/>
  </r>
  <r>
    <x v="2"/>
    <x v="5"/>
    <x v="3"/>
    <x v="3"/>
    <x v="3"/>
    <n v="3084"/>
    <n v="2056"/>
    <s v="422"/>
  </r>
  <r>
    <x v="2"/>
    <x v="5"/>
    <x v="2"/>
    <x v="4"/>
    <x v="1"/>
    <n v="12370.5"/>
    <n v="8247"/>
    <s v="423"/>
  </r>
  <r>
    <x v="2"/>
    <x v="5"/>
    <x v="0"/>
    <x v="4"/>
    <x v="1"/>
    <n v="13231.5"/>
    <n v="8821"/>
    <s v="424"/>
  </r>
  <r>
    <x v="2"/>
    <x v="5"/>
    <x v="2"/>
    <x v="4"/>
    <x v="1"/>
    <n v="12370.5"/>
    <n v="8247"/>
    <s v="425"/>
  </r>
  <r>
    <x v="2"/>
    <x v="5"/>
    <x v="0"/>
    <x v="4"/>
    <x v="1"/>
    <n v="13231.5"/>
    <n v="8821"/>
    <s v="426"/>
  </r>
  <r>
    <x v="2"/>
    <x v="6"/>
    <x v="1"/>
    <x v="0"/>
    <x v="0"/>
    <n v="8832"/>
    <n v="5888"/>
    <s v="427"/>
  </r>
  <r>
    <x v="2"/>
    <x v="6"/>
    <x v="0"/>
    <x v="0"/>
    <x v="0"/>
    <n v="13413"/>
    <n v="8942"/>
    <s v="428"/>
  </r>
  <r>
    <x v="2"/>
    <x v="6"/>
    <x v="3"/>
    <x v="0"/>
    <x v="0"/>
    <n v="4026"/>
    <n v="2684"/>
    <s v="429"/>
  </r>
  <r>
    <x v="2"/>
    <x v="6"/>
    <x v="1"/>
    <x v="0"/>
    <x v="0"/>
    <n v="8832"/>
    <n v="5888"/>
    <s v="430"/>
  </r>
  <r>
    <x v="2"/>
    <x v="6"/>
    <x v="0"/>
    <x v="0"/>
    <x v="0"/>
    <n v="13413"/>
    <n v="8942"/>
    <s v="431"/>
  </r>
  <r>
    <x v="2"/>
    <x v="6"/>
    <x v="3"/>
    <x v="0"/>
    <x v="0"/>
    <n v="4026"/>
    <n v="2684"/>
    <s v="432"/>
  </r>
  <r>
    <x v="2"/>
    <x v="6"/>
    <x v="1"/>
    <x v="1"/>
    <x v="1"/>
    <n v="8832"/>
    <n v="5888"/>
    <s v="433"/>
  </r>
  <r>
    <x v="2"/>
    <x v="6"/>
    <x v="2"/>
    <x v="1"/>
    <x v="1"/>
    <n v="3547.5"/>
    <n v="2365"/>
    <s v="434"/>
  </r>
  <r>
    <x v="2"/>
    <x v="6"/>
    <x v="1"/>
    <x v="1"/>
    <x v="1"/>
    <n v="8832"/>
    <n v="5888"/>
    <s v="435"/>
  </r>
  <r>
    <x v="2"/>
    <x v="6"/>
    <x v="2"/>
    <x v="1"/>
    <x v="1"/>
    <n v="3547.5"/>
    <n v="2365"/>
    <s v="436"/>
  </r>
  <r>
    <x v="2"/>
    <x v="6"/>
    <x v="0"/>
    <x v="2"/>
    <x v="2"/>
    <n v="9486"/>
    <n v="6324"/>
    <s v="437"/>
  </r>
  <r>
    <x v="2"/>
    <x v="6"/>
    <x v="3"/>
    <x v="2"/>
    <x v="2"/>
    <n v="7342.5"/>
    <n v="4895"/>
    <s v="438"/>
  </r>
  <r>
    <x v="2"/>
    <x v="6"/>
    <x v="0"/>
    <x v="2"/>
    <x v="2"/>
    <n v="9486"/>
    <n v="6324"/>
    <s v="439"/>
  </r>
  <r>
    <x v="2"/>
    <x v="6"/>
    <x v="3"/>
    <x v="2"/>
    <x v="2"/>
    <n v="7342.5"/>
    <n v="4895"/>
    <s v="440"/>
  </r>
  <r>
    <x v="2"/>
    <x v="6"/>
    <x v="2"/>
    <x v="3"/>
    <x v="3"/>
    <n v="3547.5"/>
    <n v="2365"/>
    <s v="441"/>
  </r>
  <r>
    <x v="2"/>
    <x v="6"/>
    <x v="0"/>
    <x v="3"/>
    <x v="3"/>
    <n v="3238.5"/>
    <n v="2159"/>
    <s v="442"/>
  </r>
  <r>
    <x v="2"/>
    <x v="6"/>
    <x v="2"/>
    <x v="3"/>
    <x v="3"/>
    <n v="3547.5"/>
    <n v="2365"/>
    <s v="443"/>
  </r>
  <r>
    <x v="2"/>
    <x v="6"/>
    <x v="0"/>
    <x v="3"/>
    <x v="3"/>
    <n v="3238.5"/>
    <n v="2159"/>
    <s v="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6577FC-A186-4792-9B04-36729601D6B3}" name="PivotTable2" cacheId="9" applyNumberFormats="0" applyBorderFormats="0" applyFontFormats="0" applyPatternFormats="0" applyAlignmentFormats="0" applyWidthHeightFormats="1" dataCaption="Values" tag="4ad7307d-c390-4971-b0b2-05dd5afa610b" updatedVersion="8" minRefreshableVersion="3" useAutoFormatting="1" itemPrintTitles="1" createdVersion="5" indent="0" outline="1" outlineData="1" multipleFieldFilters="0">
  <location ref="B3:D25" firstHeaderRow="0" firstDataRow="1" firstDataCol="1"/>
  <pivotFields count="3">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Average of Freight" fld="2" subtotal="average" baseField="0" baseItem="0" numFmtId="167"/>
    <dataField name="Average of Freight Status" fld="1" subtotal="count" baseField="0" baseItem="0"/>
  </dataFields>
  <formats count="5">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 dxfId="3">
      <pivotArea outline="0" fieldPosition="0">
        <references count="1">
          <reference field="4294967294" count="1">
            <x v="0"/>
          </reference>
        </references>
      </pivotArea>
    </format>
  </formats>
  <conditionalFormats count="1">
    <conditionalFormat scope="data" priority="1">
      <pivotAreas count="1">
        <pivotArea outline="0" fieldPosition="0">
          <references count="1">
            <reference field="4294967294" count="1" selected="0">
              <x v="1"/>
            </reference>
          </references>
        </pivotArea>
      </pivotAreas>
    </conditionalFormat>
  </conditional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Freight"/>
    <pivotHierarchy dragToRow="0" dragToCol="0" dragToPage="0" dragOff="0"/>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Info]"/>
        <x15:activeTabTopLevelEntity name="[CustomerInf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9D6B3-D4D5-4741-8B9F-93623FED781D}"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G9" firstHeaderRow="1" firstDataRow="2" firstDataCol="1" rowPageCount="1" colPageCount="1"/>
  <pivotFields count="8">
    <pivotField showAll="0">
      <items count="4">
        <item x="0"/>
        <item x="1"/>
        <item x="2"/>
        <item t="default"/>
      </items>
    </pivotField>
    <pivotField axis="axisPage" multipleItemSelectionAllowed="1" showAll="0">
      <items count="8">
        <item x="0"/>
        <item x="1"/>
        <item x="2"/>
        <item x="3"/>
        <item x="4"/>
        <item x="5"/>
        <item x="6"/>
        <item t="default"/>
      </items>
    </pivotField>
    <pivotField axis="axisRow" showAll="0">
      <items count="5">
        <item x="1"/>
        <item x="0"/>
        <item x="3"/>
        <item x="2"/>
        <item t="default"/>
      </items>
    </pivotField>
    <pivotField axis="axisCol" showAll="0">
      <items count="6">
        <item x="0"/>
        <item x="1"/>
        <item x="2"/>
        <item x="3"/>
        <item x="4"/>
        <item t="default"/>
      </items>
    </pivotField>
    <pivotField showAll="0">
      <items count="5">
        <item x="1"/>
        <item x="2"/>
        <item x="3"/>
        <item x="0"/>
        <item t="default"/>
      </items>
    </pivotField>
    <pivotField numFmtId="166" showAll="0"/>
    <pivotField dataField="1" showAll="0"/>
    <pivotField showAll="0"/>
  </pivotFields>
  <rowFields count="1">
    <field x="2"/>
  </rowFields>
  <rowItems count="5">
    <i>
      <x/>
    </i>
    <i>
      <x v="1"/>
    </i>
    <i>
      <x v="2"/>
    </i>
    <i>
      <x v="3"/>
    </i>
    <i t="grand">
      <x/>
    </i>
  </rowItems>
  <colFields count="1">
    <field x="3"/>
  </colFields>
  <colItems count="6">
    <i>
      <x/>
    </i>
    <i>
      <x v="1"/>
    </i>
    <i>
      <x v="2"/>
    </i>
    <i>
      <x v="3"/>
    </i>
    <i>
      <x v="4"/>
    </i>
    <i t="grand">
      <x/>
    </i>
  </colItems>
  <pageFields count="1">
    <pageField fld="1" hier="-1"/>
  </pageFields>
  <dataFields count="1">
    <dataField name="Count of Units" fld="6" subtotal="count" baseField="2" baseItem="2"/>
  </dataFields>
  <chartFormats count="5">
    <chartFormat chart="0" format="10" series="1">
      <pivotArea type="data" outline="0" fieldPosition="0">
        <references count="1">
          <reference field="3" count="1" selected="0">
            <x v="0"/>
          </reference>
        </references>
      </pivotArea>
    </chartFormat>
    <chartFormat chart="0" format="11" series="1">
      <pivotArea type="data" outline="0" fieldPosition="0">
        <references count="1">
          <reference field="3" count="1" selected="0">
            <x v="1"/>
          </reference>
        </references>
      </pivotArea>
    </chartFormat>
    <chartFormat chart="0" format="12" series="1">
      <pivotArea type="data" outline="0" fieldPosition="0">
        <references count="1">
          <reference field="3" count="1" selected="0">
            <x v="2"/>
          </reference>
        </references>
      </pivotArea>
    </chartFormat>
    <chartFormat chart="0" format="13" series="1">
      <pivotArea type="data" outline="0" fieldPosition="0">
        <references count="1">
          <reference field="3" count="1" selected="0">
            <x v="3"/>
          </reference>
        </references>
      </pivotArea>
    </chartFormat>
    <chartFormat chart="0" format="14" series="1">
      <pivotArea type="data" outline="0" fieldPosition="0">
        <references count="1">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3FB86F7-3246-40A7-ADC6-ECAAF56DFE8A}" sourceName="Year">
  <pivotTables>
    <pivotTable tabId="26" name="PivotTable3"/>
  </pivotTables>
  <data>
    <tabular pivotCacheId="9816012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83649AA-8F0C-49FF-B755-D55689F550DD}" sourceName="Region">
  <pivotTables>
    <pivotTable tabId="26" name="PivotTable3"/>
  </pivotTables>
  <data>
    <tabular pivotCacheId="98160121">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115A2C-96BE-42AF-84FB-52149F7586DB}" cache="Slicer_Year" caption="Year" rowHeight="225425"/>
  <slicer name="Region" xr10:uid="{05EAA5BD-C201-47E5-BE99-8175BD636236}" cache="Slicer_Region" caption="Region"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Info" displayName="CustomerInfo" ref="A1:K92" totalsRowShown="0">
  <autoFilter ref="A1:K92" xr:uid="{00000000-0009-0000-0100-000001000000}"/>
  <tableColumns count="11">
    <tableColumn id="1" xr3:uid="{00000000-0010-0000-0000-000001000000}" name="CustomerID"/>
    <tableColumn id="2" xr3:uid="{00000000-0010-0000-0000-000002000000}" name="CompanyName"/>
    <tableColumn id="3" xr3:uid="{00000000-0010-0000-0000-000003000000}" name="ContactName"/>
    <tableColumn id="4" xr3:uid="{00000000-0010-0000-0000-000004000000}" name="ContactTitle"/>
    <tableColumn id="5" xr3:uid="{00000000-0010-0000-0000-000005000000}" name="Address"/>
    <tableColumn id="6" xr3:uid="{00000000-0010-0000-0000-000006000000}" name="City"/>
    <tableColumn id="7" xr3:uid="{00000000-0010-0000-0000-000007000000}" name="Region"/>
    <tableColumn id="8" xr3:uid="{00000000-0010-0000-0000-000008000000}" name="PostalCode"/>
    <tableColumn id="9" xr3:uid="{00000000-0010-0000-0000-000009000000}" name="Country"/>
    <tableColumn id="10" xr3:uid="{00000000-0010-0000-0000-00000A000000}" name="Phone"/>
    <tableColumn id="11" xr3:uid="{00000000-0010-0000-0000-00000B000000}" name="Fax"/>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derInfo" displayName="OrderInfo" ref="A1:N831" totalsRowShown="0">
  <autoFilter ref="A1:N831" xr:uid="{00000000-0009-0000-0100-000002000000}"/>
  <sortState xmlns:xlrd2="http://schemas.microsoft.com/office/spreadsheetml/2017/richdata2" ref="A2:N831">
    <sortCondition ref="B1:B831"/>
  </sortState>
  <tableColumns count="14">
    <tableColumn id="1" xr3:uid="{00000000-0010-0000-0100-000001000000}" name="OrderID"/>
    <tableColumn id="2" xr3:uid="{00000000-0010-0000-0100-000002000000}" name="CustomerID"/>
    <tableColumn id="3" xr3:uid="{00000000-0010-0000-0100-000003000000}" name="EmployeeID"/>
    <tableColumn id="4" xr3:uid="{00000000-0010-0000-0100-000004000000}" name="OrderDate" dataDxfId="2"/>
    <tableColumn id="5" xr3:uid="{00000000-0010-0000-0100-000005000000}" name="RequiredDate" dataDxfId="1"/>
    <tableColumn id="6" xr3:uid="{00000000-0010-0000-0100-000006000000}" name="ShippedDate" dataDxfId="0"/>
    <tableColumn id="7" xr3:uid="{00000000-0010-0000-0100-000007000000}" name="ShipVia"/>
    <tableColumn id="8" xr3:uid="{00000000-0010-0000-0100-000008000000}" name="Freight"/>
    <tableColumn id="9" xr3:uid="{00000000-0010-0000-0100-000009000000}" name="ShipName"/>
    <tableColumn id="10" xr3:uid="{00000000-0010-0000-0100-00000A000000}" name="ShipAddress"/>
    <tableColumn id="11" xr3:uid="{00000000-0010-0000-0100-00000B000000}" name="ShipCity"/>
    <tableColumn id="12" xr3:uid="{00000000-0010-0000-0100-00000C000000}" name="ShipRegion"/>
    <tableColumn id="13" xr3:uid="{00000000-0010-0000-0100-00000D000000}" name="ShipPostalCode"/>
    <tableColumn id="14" xr3:uid="{00000000-0010-0000-0100-00000E000000}" name="ShipCountr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0"/>
  <sheetViews>
    <sheetView zoomScale="160" zoomScaleNormal="160" workbookViewId="0">
      <selection activeCell="G12" sqref="G12"/>
    </sheetView>
  </sheetViews>
  <sheetFormatPr defaultRowHeight="12.75" x14ac:dyDescent="0.2"/>
  <cols>
    <col min="1" max="1" width="12.42578125" customWidth="1"/>
    <col min="2" max="2" width="11.28515625" customWidth="1"/>
  </cols>
  <sheetData>
    <row r="1" spans="1:2" x14ac:dyDescent="0.2">
      <c r="A1" s="1" t="s">
        <v>743</v>
      </c>
      <c r="B1" s="1"/>
    </row>
    <row r="3" spans="1:2" ht="13.5" thickBot="1" x14ac:dyDescent="0.25">
      <c r="A3" s="55" t="s">
        <v>0</v>
      </c>
      <c r="B3" s="53" t="s">
        <v>1</v>
      </c>
    </row>
    <row r="4" spans="1:2" x14ac:dyDescent="0.2">
      <c r="A4" s="54" t="s">
        <v>2</v>
      </c>
      <c r="B4" s="52">
        <v>985134</v>
      </c>
    </row>
    <row r="5" spans="1:2" x14ac:dyDescent="0.2">
      <c r="A5" s="7" t="s">
        <v>3</v>
      </c>
      <c r="B5" s="8">
        <v>1369696</v>
      </c>
    </row>
    <row r="6" spans="1:2" x14ac:dyDescent="0.2">
      <c r="A6" s="7" t="s">
        <v>4</v>
      </c>
      <c r="B6" s="8">
        <v>1966973</v>
      </c>
    </row>
    <row r="7" spans="1:2" x14ac:dyDescent="0.2">
      <c r="A7" s="7" t="s">
        <v>5</v>
      </c>
      <c r="B7" s="8">
        <v>1145699</v>
      </c>
    </row>
    <row r="8" spans="1:2" x14ac:dyDescent="0.2">
      <c r="A8" s="7" t="s">
        <v>6</v>
      </c>
      <c r="B8" s="8">
        <v>968645</v>
      </c>
    </row>
    <row r="9" spans="1:2" x14ac:dyDescent="0.2">
      <c r="B9" s="2"/>
    </row>
    <row r="10" spans="1:2" x14ac:dyDescent="0.2">
      <c r="A10" s="3"/>
      <c r="B10" s="2"/>
    </row>
  </sheetData>
  <phoneticPr fontId="0" type="noConversion"/>
  <printOptions gridLines="1" gridLinesSet="0"/>
  <pageMargins left="0.75" right="0.75" top="1" bottom="1" header="0.5" footer="0.5"/>
  <pageSetup orientation="portrait" horizontalDpi="0" verticalDpi="0" copies="0"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10"/>
  <sheetViews>
    <sheetView zoomScale="160" zoomScaleNormal="160" workbookViewId="0">
      <selection activeCell="A4" sqref="A4"/>
    </sheetView>
  </sheetViews>
  <sheetFormatPr defaultRowHeight="12.75" x14ac:dyDescent="0.2"/>
  <cols>
    <col min="1" max="1" width="12.42578125" customWidth="1"/>
    <col min="2" max="2" width="11.28515625" customWidth="1"/>
  </cols>
  <sheetData>
    <row r="1" spans="1:2" x14ac:dyDescent="0.2">
      <c r="A1" s="1" t="s">
        <v>742</v>
      </c>
      <c r="B1" s="1"/>
    </row>
    <row r="3" spans="1:2" ht="13.5" thickBot="1" x14ac:dyDescent="0.25">
      <c r="A3" s="55" t="s">
        <v>0</v>
      </c>
      <c r="B3" s="53" t="s">
        <v>1</v>
      </c>
    </row>
    <row r="4" spans="1:2" x14ac:dyDescent="0.2">
      <c r="A4" s="56" t="s">
        <v>2</v>
      </c>
      <c r="B4" s="57">
        <v>1075443</v>
      </c>
    </row>
    <row r="5" spans="1:2" x14ac:dyDescent="0.2">
      <c r="A5" s="5" t="s">
        <v>3</v>
      </c>
      <c r="B5" s="6">
        <v>1382143</v>
      </c>
    </row>
    <row r="6" spans="1:2" x14ac:dyDescent="0.2">
      <c r="A6" s="5" t="s">
        <v>4</v>
      </c>
      <c r="B6" s="6">
        <v>1865400</v>
      </c>
    </row>
    <row r="7" spans="1:2" x14ac:dyDescent="0.2">
      <c r="A7" s="5" t="s">
        <v>5</v>
      </c>
      <c r="B7" s="6">
        <v>1113799</v>
      </c>
    </row>
    <row r="8" spans="1:2" x14ac:dyDescent="0.2">
      <c r="A8" s="5" t="s">
        <v>6</v>
      </c>
      <c r="B8" s="6">
        <v>1057665</v>
      </c>
    </row>
    <row r="9" spans="1:2" x14ac:dyDescent="0.2">
      <c r="B9" s="2"/>
    </row>
    <row r="10" spans="1:2" x14ac:dyDescent="0.2">
      <c r="A10" s="3"/>
      <c r="B10" s="2"/>
    </row>
  </sheetData>
  <phoneticPr fontId="0" type="noConversion"/>
  <printOptions gridLines="1" gridLinesSet="0"/>
  <pageMargins left="0.75" right="0.75" top="1" bottom="1" header="0.5" footer="0.5"/>
  <pageSetup orientation="portrait" r:id="rId1"/>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10"/>
  <sheetViews>
    <sheetView zoomScale="160" zoomScaleNormal="160" workbookViewId="0">
      <selection activeCell="A4" sqref="A4"/>
    </sheetView>
  </sheetViews>
  <sheetFormatPr defaultRowHeight="12.75" x14ac:dyDescent="0.2"/>
  <cols>
    <col min="1" max="1" width="12.42578125" customWidth="1"/>
    <col min="2" max="2" width="11.28515625" customWidth="1"/>
  </cols>
  <sheetData>
    <row r="1" spans="1:2" x14ac:dyDescent="0.2">
      <c r="A1" s="1" t="s">
        <v>741</v>
      </c>
      <c r="B1" s="1"/>
    </row>
    <row r="3" spans="1:2" ht="13.5" thickBot="1" x14ac:dyDescent="0.25">
      <c r="A3" s="55" t="s">
        <v>0</v>
      </c>
      <c r="B3" s="58" t="s">
        <v>1</v>
      </c>
    </row>
    <row r="4" spans="1:2" x14ac:dyDescent="0.2">
      <c r="A4" s="56" t="s">
        <v>2</v>
      </c>
      <c r="B4" s="6">
        <v>1185421</v>
      </c>
    </row>
    <row r="5" spans="1:2" x14ac:dyDescent="0.2">
      <c r="A5" s="5" t="s">
        <v>3</v>
      </c>
      <c r="B5" s="6">
        <v>1445600</v>
      </c>
    </row>
    <row r="6" spans="1:2" x14ac:dyDescent="0.2">
      <c r="A6" s="5" t="s">
        <v>4</v>
      </c>
      <c r="B6" s="6">
        <v>1766973</v>
      </c>
    </row>
    <row r="7" spans="1:2" x14ac:dyDescent="0.2">
      <c r="A7" s="5" t="s">
        <v>5</v>
      </c>
      <c r="B7" s="6">
        <v>1033799</v>
      </c>
    </row>
    <row r="8" spans="1:2" x14ac:dyDescent="0.2">
      <c r="A8" s="5" t="s">
        <v>6</v>
      </c>
      <c r="B8" s="6">
        <v>1158667</v>
      </c>
    </row>
    <row r="9" spans="1:2" x14ac:dyDescent="0.2">
      <c r="B9" s="2"/>
    </row>
    <row r="10" spans="1:2" x14ac:dyDescent="0.2">
      <c r="A10" s="3"/>
      <c r="B10" s="2"/>
    </row>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10"/>
  <sheetViews>
    <sheetView zoomScale="160" zoomScaleNormal="160" workbookViewId="0">
      <selection activeCell="A4" sqref="A4"/>
    </sheetView>
  </sheetViews>
  <sheetFormatPr defaultRowHeight="12.75" x14ac:dyDescent="0.2"/>
  <cols>
    <col min="1" max="1" width="12.42578125" customWidth="1"/>
    <col min="2" max="2" width="11.28515625" customWidth="1"/>
  </cols>
  <sheetData>
    <row r="1" spans="1:2" x14ac:dyDescent="0.2">
      <c r="A1" s="4" t="s">
        <v>7</v>
      </c>
      <c r="B1" s="1"/>
    </row>
    <row r="3" spans="1:2" ht="13.5" thickBot="1" x14ac:dyDescent="0.25">
      <c r="A3" s="55" t="s">
        <v>0</v>
      </c>
      <c r="B3" s="53" t="s">
        <v>1</v>
      </c>
    </row>
    <row r="4" spans="1:2" x14ac:dyDescent="0.2">
      <c r="A4" s="54" t="s">
        <v>2</v>
      </c>
      <c r="B4" s="52"/>
    </row>
    <row r="5" spans="1:2" x14ac:dyDescent="0.2">
      <c r="A5" s="7" t="s">
        <v>3</v>
      </c>
      <c r="B5" s="8"/>
    </row>
    <row r="6" spans="1:2" x14ac:dyDescent="0.2">
      <c r="A6" s="7" t="s">
        <v>4</v>
      </c>
      <c r="B6" s="8"/>
    </row>
    <row r="7" spans="1:2" x14ac:dyDescent="0.2">
      <c r="A7" s="7" t="s">
        <v>5</v>
      </c>
      <c r="B7" s="8"/>
    </row>
    <row r="8" spans="1:2" x14ac:dyDescent="0.2">
      <c r="A8" s="7" t="s">
        <v>6</v>
      </c>
      <c r="B8" s="8"/>
    </row>
    <row r="9" spans="1:2" x14ac:dyDescent="0.2">
      <c r="B9" s="2"/>
    </row>
    <row r="10" spans="1:2" x14ac:dyDescent="0.2">
      <c r="A10" s="3"/>
      <c r="B10" s="2"/>
    </row>
  </sheetData>
  <phoneticPr fontId="0" type="noConversion"/>
  <printOptions gridLines="1" gridLinesSet="0"/>
  <pageMargins left="0.75" right="0.75" top="1" bottom="1" header="0.5" footer="0.5"/>
  <headerFooter alignWithMargins="0">
    <oddHeader>&amp;A</oddHeader>
    <oddFoote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62"/>
  <sheetViews>
    <sheetView workbookViewId="0"/>
  </sheetViews>
  <sheetFormatPr defaultRowHeight="14.25" customHeight="1" x14ac:dyDescent="0.2"/>
  <cols>
    <col min="1" max="1" width="12.5703125" style="34" customWidth="1"/>
    <col min="2" max="2" width="13.5703125" style="34" customWidth="1"/>
    <col min="3" max="3" width="13.28515625" style="34" customWidth="1"/>
    <col min="4" max="5" width="12.5703125" style="34" customWidth="1"/>
    <col min="6" max="6" width="13.7109375" style="34" customWidth="1"/>
    <col min="7" max="8" width="12.5703125" style="34" customWidth="1"/>
  </cols>
  <sheetData>
    <row r="1" spans="1:8" ht="24" customHeight="1" thickBot="1" x14ac:dyDescent="0.25">
      <c r="A1" s="39" t="s">
        <v>145</v>
      </c>
      <c r="B1" s="39" t="s">
        <v>146</v>
      </c>
      <c r="C1" s="39" t="s">
        <v>147</v>
      </c>
      <c r="D1" s="39" t="s">
        <v>148</v>
      </c>
      <c r="E1" s="39" t="s">
        <v>149</v>
      </c>
      <c r="F1" s="39" t="s">
        <v>150</v>
      </c>
      <c r="G1" s="39" t="s">
        <v>151</v>
      </c>
      <c r="H1" s="39" t="s">
        <v>63</v>
      </c>
    </row>
    <row r="2" spans="1:8" ht="14.25" customHeight="1" x14ac:dyDescent="0.2">
      <c r="A2" s="37">
        <v>1814</v>
      </c>
      <c r="B2" s="37" t="s">
        <v>251</v>
      </c>
      <c r="C2" s="37" t="s">
        <v>252</v>
      </c>
      <c r="D2" s="37" t="s">
        <v>181</v>
      </c>
      <c r="E2" s="37" t="s">
        <v>253</v>
      </c>
      <c r="F2" s="37">
        <v>103</v>
      </c>
      <c r="G2" s="37" t="s">
        <v>155</v>
      </c>
      <c r="H2" s="38">
        <v>32571</v>
      </c>
    </row>
    <row r="3" spans="1:8" ht="14.25" customHeight="1" x14ac:dyDescent="0.2">
      <c r="A3" s="32">
        <v>1721</v>
      </c>
      <c r="B3" s="32" t="s">
        <v>240</v>
      </c>
      <c r="C3" s="32" t="s">
        <v>241</v>
      </c>
      <c r="D3" s="32" t="s">
        <v>181</v>
      </c>
      <c r="E3" s="32" t="s">
        <v>242</v>
      </c>
      <c r="F3" s="32">
        <v>102</v>
      </c>
      <c r="G3" s="32" t="s">
        <v>155</v>
      </c>
      <c r="H3" s="33">
        <v>33091</v>
      </c>
    </row>
    <row r="4" spans="1:8" ht="14.25" customHeight="1" x14ac:dyDescent="0.2">
      <c r="A4" s="32">
        <v>1999</v>
      </c>
      <c r="B4" s="32" t="s">
        <v>291</v>
      </c>
      <c r="C4" s="32" t="s">
        <v>71</v>
      </c>
      <c r="D4" s="32" t="s">
        <v>181</v>
      </c>
      <c r="E4" s="32" t="s">
        <v>292</v>
      </c>
      <c r="F4" s="32">
        <v>428</v>
      </c>
      <c r="G4" s="32" t="s">
        <v>155</v>
      </c>
      <c r="H4" s="33">
        <v>35981</v>
      </c>
    </row>
    <row r="5" spans="1:8" ht="14.25" customHeight="1" x14ac:dyDescent="0.2">
      <c r="A5" s="32">
        <v>1196</v>
      </c>
      <c r="B5" s="32" t="s">
        <v>179</v>
      </c>
      <c r="C5" s="32" t="s">
        <v>180</v>
      </c>
      <c r="D5" s="32" t="s">
        <v>181</v>
      </c>
      <c r="E5" s="32" t="s">
        <v>182</v>
      </c>
      <c r="F5" s="32">
        <v>289</v>
      </c>
      <c r="G5" s="32" t="s">
        <v>155</v>
      </c>
      <c r="H5" s="33">
        <v>35886</v>
      </c>
    </row>
    <row r="6" spans="1:8" ht="14.25" customHeight="1" x14ac:dyDescent="0.2">
      <c r="A6" s="32">
        <v>1906</v>
      </c>
      <c r="B6" s="32" t="s">
        <v>254</v>
      </c>
      <c r="C6" s="32" t="s">
        <v>255</v>
      </c>
      <c r="D6" s="32" t="s">
        <v>153</v>
      </c>
      <c r="E6" s="32" t="s">
        <v>256</v>
      </c>
      <c r="F6" s="32">
        <v>155</v>
      </c>
      <c r="G6" s="32" t="s">
        <v>155</v>
      </c>
      <c r="H6" s="33">
        <v>32779</v>
      </c>
    </row>
    <row r="7" spans="1:8" ht="14.25" customHeight="1" x14ac:dyDescent="0.2">
      <c r="A7" s="32">
        <v>1792</v>
      </c>
      <c r="B7" s="32" t="s">
        <v>248</v>
      </c>
      <c r="C7" s="32" t="s">
        <v>249</v>
      </c>
      <c r="D7" s="32" t="s">
        <v>156</v>
      </c>
      <c r="E7" s="32" t="s">
        <v>250</v>
      </c>
      <c r="F7" s="32">
        <v>111</v>
      </c>
      <c r="G7" s="32" t="s">
        <v>158</v>
      </c>
      <c r="H7" s="33">
        <v>33231</v>
      </c>
    </row>
    <row r="8" spans="1:8" ht="14.25" customHeight="1" x14ac:dyDescent="0.2">
      <c r="A8" s="32">
        <v>1516</v>
      </c>
      <c r="B8" s="32" t="s">
        <v>221</v>
      </c>
      <c r="C8" s="32" t="s">
        <v>222</v>
      </c>
      <c r="D8" s="32" t="s">
        <v>171</v>
      </c>
      <c r="E8" s="32" t="s">
        <v>223</v>
      </c>
      <c r="F8" s="32">
        <v>105</v>
      </c>
      <c r="G8" s="32" t="s">
        <v>168</v>
      </c>
      <c r="H8" s="33">
        <v>31112</v>
      </c>
    </row>
    <row r="9" spans="1:8" ht="14.25" customHeight="1" x14ac:dyDescent="0.2">
      <c r="A9" s="32">
        <v>1284</v>
      </c>
      <c r="B9" s="32" t="s">
        <v>183</v>
      </c>
      <c r="C9" s="32" t="s">
        <v>72</v>
      </c>
      <c r="D9" s="32" t="s">
        <v>184</v>
      </c>
      <c r="E9" s="32" t="s">
        <v>185</v>
      </c>
      <c r="F9" s="32">
        <v>124</v>
      </c>
      <c r="G9" s="32" t="s">
        <v>158</v>
      </c>
      <c r="H9" s="33">
        <v>31051</v>
      </c>
    </row>
    <row r="10" spans="1:8" ht="14.25" customHeight="1" x14ac:dyDescent="0.2">
      <c r="A10" s="32">
        <v>1982</v>
      </c>
      <c r="B10" s="32" t="s">
        <v>176</v>
      </c>
      <c r="C10" s="32" t="s">
        <v>278</v>
      </c>
      <c r="D10" s="32" t="s">
        <v>153</v>
      </c>
      <c r="E10" s="32" t="s">
        <v>279</v>
      </c>
      <c r="F10" s="32">
        <v>202</v>
      </c>
      <c r="G10" s="32" t="s">
        <v>155</v>
      </c>
      <c r="H10" s="33">
        <v>35523</v>
      </c>
    </row>
    <row r="11" spans="1:8" ht="14.25" customHeight="1" x14ac:dyDescent="0.2">
      <c r="A11" s="32">
        <v>1167</v>
      </c>
      <c r="B11" s="32" t="s">
        <v>176</v>
      </c>
      <c r="C11" s="32" t="s">
        <v>177</v>
      </c>
      <c r="D11" s="32" t="s">
        <v>153</v>
      </c>
      <c r="E11" s="32" t="s">
        <v>178</v>
      </c>
      <c r="F11" s="32">
        <v>119</v>
      </c>
      <c r="G11" s="32" t="s">
        <v>155</v>
      </c>
      <c r="H11" s="33">
        <v>33346</v>
      </c>
    </row>
    <row r="12" spans="1:8" ht="14.25" customHeight="1" x14ac:dyDescent="0.2">
      <c r="A12" s="32">
        <v>1673</v>
      </c>
      <c r="B12" s="32" t="s">
        <v>236</v>
      </c>
      <c r="C12" s="32" t="s">
        <v>72</v>
      </c>
      <c r="D12" s="32" t="s">
        <v>166</v>
      </c>
      <c r="E12" s="32" t="s">
        <v>237</v>
      </c>
      <c r="F12" s="32">
        <v>112</v>
      </c>
      <c r="G12" s="32" t="s">
        <v>168</v>
      </c>
      <c r="H12" s="33">
        <v>33688</v>
      </c>
    </row>
    <row r="13" spans="1:8" ht="14.25" customHeight="1" x14ac:dyDescent="0.2">
      <c r="A13" s="32">
        <v>1758</v>
      </c>
      <c r="B13" s="32" t="s">
        <v>245</v>
      </c>
      <c r="C13" s="32" t="s">
        <v>246</v>
      </c>
      <c r="D13" s="32" t="s">
        <v>171</v>
      </c>
      <c r="E13" s="32" t="s">
        <v>247</v>
      </c>
      <c r="F13" s="32">
        <v>107</v>
      </c>
      <c r="G13" s="32" t="s">
        <v>168</v>
      </c>
      <c r="H13" s="33">
        <v>30028</v>
      </c>
    </row>
    <row r="14" spans="1:8" ht="14.25" customHeight="1" x14ac:dyDescent="0.2">
      <c r="A14" s="32">
        <v>1990</v>
      </c>
      <c r="B14" s="32" t="s">
        <v>285</v>
      </c>
      <c r="C14" s="32" t="s">
        <v>286</v>
      </c>
      <c r="D14" s="32" t="s">
        <v>194</v>
      </c>
      <c r="E14" s="32" t="s">
        <v>287</v>
      </c>
      <c r="F14" s="32">
        <v>198</v>
      </c>
      <c r="G14" s="32" t="s">
        <v>158</v>
      </c>
      <c r="H14" s="33">
        <v>35840</v>
      </c>
    </row>
    <row r="15" spans="1:8" ht="14.25" customHeight="1" x14ac:dyDescent="0.2">
      <c r="A15" s="32">
        <v>1290</v>
      </c>
      <c r="B15" s="32" t="s">
        <v>186</v>
      </c>
      <c r="C15" s="32" t="s">
        <v>187</v>
      </c>
      <c r="D15" s="32" t="s">
        <v>166</v>
      </c>
      <c r="E15" s="32" t="s">
        <v>188</v>
      </c>
      <c r="F15" s="32">
        <v>113</v>
      </c>
      <c r="G15" s="32" t="s">
        <v>168</v>
      </c>
      <c r="H15" s="33">
        <v>31050</v>
      </c>
    </row>
    <row r="16" spans="1:8" ht="14.25" customHeight="1" x14ac:dyDescent="0.2">
      <c r="A16" s="32">
        <v>1966</v>
      </c>
      <c r="B16" s="32" t="s">
        <v>272</v>
      </c>
      <c r="C16" s="32" t="s">
        <v>273</v>
      </c>
      <c r="D16" s="32" t="s">
        <v>153</v>
      </c>
      <c r="E16" s="32" t="s">
        <v>274</v>
      </c>
      <c r="F16" s="32">
        <v>159</v>
      </c>
      <c r="G16" s="32" t="s">
        <v>155</v>
      </c>
      <c r="H16" s="33">
        <v>30054</v>
      </c>
    </row>
    <row r="17" spans="1:8" ht="14.25" customHeight="1" x14ac:dyDescent="0.2">
      <c r="A17" s="32">
        <v>1983</v>
      </c>
      <c r="B17" s="32" t="s">
        <v>269</v>
      </c>
      <c r="C17" s="32" t="s">
        <v>280</v>
      </c>
      <c r="D17" s="32" t="s">
        <v>156</v>
      </c>
      <c r="E17" s="32" t="s">
        <v>281</v>
      </c>
      <c r="F17" s="32">
        <v>154</v>
      </c>
      <c r="G17" s="32" t="s">
        <v>158</v>
      </c>
      <c r="H17" s="33">
        <v>35609</v>
      </c>
    </row>
    <row r="18" spans="1:8" ht="14.25" customHeight="1" x14ac:dyDescent="0.2">
      <c r="A18" s="32">
        <v>1964</v>
      </c>
      <c r="B18" s="32" t="s">
        <v>269</v>
      </c>
      <c r="C18" s="32" t="s">
        <v>270</v>
      </c>
      <c r="D18" s="32" t="s">
        <v>171</v>
      </c>
      <c r="E18" s="32" t="s">
        <v>271</v>
      </c>
      <c r="F18" s="32">
        <v>108</v>
      </c>
      <c r="G18" s="32" t="s">
        <v>168</v>
      </c>
      <c r="H18" s="33">
        <v>33559</v>
      </c>
    </row>
    <row r="19" spans="1:8" ht="14.25" customHeight="1" x14ac:dyDescent="0.2">
      <c r="A19" s="32">
        <v>1293</v>
      </c>
      <c r="B19" s="32" t="s">
        <v>189</v>
      </c>
      <c r="C19" s="32" t="s">
        <v>190</v>
      </c>
      <c r="D19" s="32" t="s">
        <v>181</v>
      </c>
      <c r="E19" s="32" t="s">
        <v>191</v>
      </c>
      <c r="F19" s="32">
        <v>205</v>
      </c>
      <c r="G19" s="32" t="s">
        <v>155</v>
      </c>
      <c r="H19" s="33">
        <v>30939</v>
      </c>
    </row>
    <row r="20" spans="1:8" ht="14.25" customHeight="1" x14ac:dyDescent="0.2">
      <c r="A20" s="32">
        <v>1672</v>
      </c>
      <c r="B20" s="32" t="s">
        <v>233</v>
      </c>
      <c r="C20" s="32" t="s">
        <v>234</v>
      </c>
      <c r="D20" s="32" t="s">
        <v>194</v>
      </c>
      <c r="E20" s="32" t="s">
        <v>235</v>
      </c>
      <c r="F20" s="32">
        <v>114</v>
      </c>
      <c r="G20" s="32" t="s">
        <v>158</v>
      </c>
      <c r="H20" s="33">
        <v>32979</v>
      </c>
    </row>
    <row r="21" spans="1:8" ht="14.25" customHeight="1" x14ac:dyDescent="0.2">
      <c r="A21" s="32">
        <v>1960</v>
      </c>
      <c r="B21" s="32" t="s">
        <v>266</v>
      </c>
      <c r="C21" s="32" t="s">
        <v>267</v>
      </c>
      <c r="D21" s="32" t="s">
        <v>194</v>
      </c>
      <c r="E21" s="32" t="s">
        <v>268</v>
      </c>
      <c r="F21" s="32">
        <v>150</v>
      </c>
      <c r="G21" s="32" t="s">
        <v>158</v>
      </c>
      <c r="H21" s="33">
        <v>31729</v>
      </c>
    </row>
    <row r="22" spans="1:8" ht="14.25" customHeight="1" x14ac:dyDescent="0.2">
      <c r="A22" s="32">
        <v>1975</v>
      </c>
      <c r="B22" s="32" t="s">
        <v>275</v>
      </c>
      <c r="C22" s="32" t="s">
        <v>276</v>
      </c>
      <c r="D22" s="32" t="s">
        <v>171</v>
      </c>
      <c r="E22" s="32" t="s">
        <v>277</v>
      </c>
      <c r="F22" s="32">
        <v>125</v>
      </c>
      <c r="G22" s="32" t="s">
        <v>168</v>
      </c>
      <c r="H22" s="33">
        <v>35125</v>
      </c>
    </row>
    <row r="23" spans="1:8" ht="14.25" customHeight="1" x14ac:dyDescent="0.2">
      <c r="A23" s="32">
        <v>1056</v>
      </c>
      <c r="B23" s="32" t="s">
        <v>81</v>
      </c>
      <c r="C23" s="32" t="s">
        <v>159</v>
      </c>
      <c r="D23" s="32" t="s">
        <v>156</v>
      </c>
      <c r="E23" s="32" t="s">
        <v>160</v>
      </c>
      <c r="F23" s="32">
        <v>121</v>
      </c>
      <c r="G23" s="32" t="s">
        <v>158</v>
      </c>
      <c r="H23" s="33">
        <v>29153</v>
      </c>
    </row>
    <row r="24" spans="1:8" ht="14.25" customHeight="1" x14ac:dyDescent="0.2">
      <c r="A24" s="32">
        <v>1078</v>
      </c>
      <c r="B24" s="32" t="s">
        <v>169</v>
      </c>
      <c r="C24" s="32" t="s">
        <v>170</v>
      </c>
      <c r="D24" s="32" t="s">
        <v>171</v>
      </c>
      <c r="E24" s="32" t="s">
        <v>172</v>
      </c>
      <c r="F24" s="32">
        <v>101</v>
      </c>
      <c r="G24" s="32" t="s">
        <v>168</v>
      </c>
      <c r="H24" s="33">
        <v>31503</v>
      </c>
    </row>
    <row r="25" spans="1:8" ht="14.25" customHeight="1" x14ac:dyDescent="0.2">
      <c r="A25" s="32">
        <v>1152</v>
      </c>
      <c r="B25" s="32" t="s">
        <v>173</v>
      </c>
      <c r="C25" s="32" t="s">
        <v>174</v>
      </c>
      <c r="D25" s="32" t="s">
        <v>166</v>
      </c>
      <c r="E25" s="32" t="s">
        <v>175</v>
      </c>
      <c r="F25" s="32">
        <v>118</v>
      </c>
      <c r="G25" s="32" t="s">
        <v>168</v>
      </c>
      <c r="H25" s="33">
        <v>32894</v>
      </c>
    </row>
    <row r="26" spans="1:8" ht="14.25" customHeight="1" x14ac:dyDescent="0.2">
      <c r="A26" s="32">
        <v>1075</v>
      </c>
      <c r="B26" s="32" t="s">
        <v>164</v>
      </c>
      <c r="C26" s="32" t="s">
        <v>165</v>
      </c>
      <c r="D26" s="32" t="s">
        <v>166</v>
      </c>
      <c r="E26" s="32" t="s">
        <v>167</v>
      </c>
      <c r="F26" s="32">
        <v>126</v>
      </c>
      <c r="G26" s="32" t="s">
        <v>168</v>
      </c>
      <c r="H26" s="33">
        <v>33823</v>
      </c>
    </row>
    <row r="27" spans="1:8" ht="14.25" customHeight="1" x14ac:dyDescent="0.2">
      <c r="A27" s="32">
        <v>1509</v>
      </c>
      <c r="B27" s="32" t="s">
        <v>218</v>
      </c>
      <c r="C27" s="32" t="s">
        <v>219</v>
      </c>
      <c r="D27" s="32" t="s">
        <v>156</v>
      </c>
      <c r="E27" s="32" t="s">
        <v>220</v>
      </c>
      <c r="F27" s="32">
        <v>135</v>
      </c>
      <c r="G27" s="32" t="s">
        <v>158</v>
      </c>
      <c r="H27" s="33">
        <v>31217</v>
      </c>
    </row>
    <row r="28" spans="1:8" ht="14.25" customHeight="1" x14ac:dyDescent="0.2">
      <c r="A28" s="32">
        <v>1529</v>
      </c>
      <c r="B28" s="32" t="s">
        <v>224</v>
      </c>
      <c r="C28" s="32" t="s">
        <v>225</v>
      </c>
      <c r="D28" s="32" t="s">
        <v>184</v>
      </c>
      <c r="E28" s="32" t="s">
        <v>226</v>
      </c>
      <c r="F28" s="32">
        <v>129</v>
      </c>
      <c r="G28" s="32" t="s">
        <v>158</v>
      </c>
      <c r="H28" s="33">
        <v>31805</v>
      </c>
    </row>
    <row r="29" spans="1:8" ht="14.25" customHeight="1" x14ac:dyDescent="0.2">
      <c r="A29" s="32">
        <v>1656</v>
      </c>
      <c r="B29" s="32" t="s">
        <v>230</v>
      </c>
      <c r="C29" s="32" t="s">
        <v>231</v>
      </c>
      <c r="D29" s="32" t="s">
        <v>194</v>
      </c>
      <c r="E29" s="32" t="s">
        <v>232</v>
      </c>
      <c r="F29" s="32">
        <v>149</v>
      </c>
      <c r="G29" s="32" t="s">
        <v>158</v>
      </c>
      <c r="H29" s="33">
        <v>32125</v>
      </c>
    </row>
    <row r="30" spans="1:8" ht="14.25" customHeight="1" x14ac:dyDescent="0.2">
      <c r="A30" s="32">
        <v>1426</v>
      </c>
      <c r="B30" s="32" t="s">
        <v>216</v>
      </c>
      <c r="C30" s="32" t="s">
        <v>65</v>
      </c>
      <c r="D30" s="32" t="s">
        <v>153</v>
      </c>
      <c r="E30" s="32" t="s">
        <v>217</v>
      </c>
      <c r="F30" s="32">
        <v>128</v>
      </c>
      <c r="G30" s="32" t="s">
        <v>155</v>
      </c>
      <c r="H30" s="33">
        <v>28376</v>
      </c>
    </row>
    <row r="31" spans="1:8" ht="14.25" customHeight="1" x14ac:dyDescent="0.2">
      <c r="A31" s="32">
        <v>1984</v>
      </c>
      <c r="B31" s="32" t="s">
        <v>282</v>
      </c>
      <c r="C31" s="32" t="s">
        <v>283</v>
      </c>
      <c r="D31" s="32" t="s">
        <v>153</v>
      </c>
      <c r="E31" s="32" t="s">
        <v>284</v>
      </c>
      <c r="F31" s="32">
        <v>204</v>
      </c>
      <c r="G31" s="32" t="s">
        <v>155</v>
      </c>
      <c r="H31" s="33">
        <v>35765</v>
      </c>
    </row>
    <row r="32" spans="1:8" ht="14.25" customHeight="1" x14ac:dyDescent="0.2">
      <c r="A32" s="32">
        <v>1676</v>
      </c>
      <c r="B32" s="32" t="s">
        <v>67</v>
      </c>
      <c r="C32" s="32" t="s">
        <v>238</v>
      </c>
      <c r="D32" s="32" t="s">
        <v>184</v>
      </c>
      <c r="E32" s="32" t="s">
        <v>239</v>
      </c>
      <c r="F32" s="32">
        <v>115</v>
      </c>
      <c r="G32" s="32" t="s">
        <v>158</v>
      </c>
      <c r="H32" s="33">
        <v>29885</v>
      </c>
    </row>
    <row r="33" spans="1:8" ht="14.25" customHeight="1" x14ac:dyDescent="0.2">
      <c r="A33" s="32">
        <v>1995</v>
      </c>
      <c r="B33" s="32" t="s">
        <v>288</v>
      </c>
      <c r="C33" s="32" t="s">
        <v>289</v>
      </c>
      <c r="D33" s="32" t="s">
        <v>156</v>
      </c>
      <c r="E33" s="32" t="s">
        <v>290</v>
      </c>
      <c r="F33" s="32">
        <v>198</v>
      </c>
      <c r="G33" s="32" t="s">
        <v>158</v>
      </c>
      <c r="H33" s="33">
        <v>35855</v>
      </c>
    </row>
    <row r="34" spans="1:8" ht="14.25" customHeight="1" x14ac:dyDescent="0.2">
      <c r="A34" s="32">
        <v>1359</v>
      </c>
      <c r="B34" s="32" t="s">
        <v>210</v>
      </c>
      <c r="C34" s="32" t="s">
        <v>211</v>
      </c>
      <c r="D34" s="32" t="s">
        <v>153</v>
      </c>
      <c r="E34" s="32" t="s">
        <v>212</v>
      </c>
      <c r="F34" s="32">
        <v>153</v>
      </c>
      <c r="G34" s="32" t="s">
        <v>155</v>
      </c>
      <c r="H34" s="33">
        <v>33094</v>
      </c>
    </row>
    <row r="35" spans="1:8" ht="14.25" customHeight="1" x14ac:dyDescent="0.2">
      <c r="A35" s="32">
        <v>1931</v>
      </c>
      <c r="B35" s="32" t="s">
        <v>261</v>
      </c>
      <c r="C35" s="32" t="s">
        <v>64</v>
      </c>
      <c r="D35" s="32" t="s">
        <v>171</v>
      </c>
      <c r="E35" s="32" t="s">
        <v>262</v>
      </c>
      <c r="F35" s="32">
        <v>110</v>
      </c>
      <c r="G35" s="32" t="s">
        <v>168</v>
      </c>
      <c r="H35" s="33">
        <v>32679</v>
      </c>
    </row>
    <row r="36" spans="1:8" ht="14.25" customHeight="1" x14ac:dyDescent="0.2">
      <c r="A36" s="32">
        <v>1723</v>
      </c>
      <c r="B36" s="32" t="s">
        <v>243</v>
      </c>
      <c r="C36" s="32" t="s">
        <v>174</v>
      </c>
      <c r="D36" s="32" t="s">
        <v>184</v>
      </c>
      <c r="E36" s="32" t="s">
        <v>244</v>
      </c>
      <c r="F36" s="32">
        <v>145</v>
      </c>
      <c r="G36" s="32" t="s">
        <v>158</v>
      </c>
      <c r="H36" s="33">
        <v>28531</v>
      </c>
    </row>
    <row r="37" spans="1:8" ht="14.25" customHeight="1" x14ac:dyDescent="0.2">
      <c r="A37" s="32">
        <v>1949</v>
      </c>
      <c r="B37" s="32" t="s">
        <v>263</v>
      </c>
      <c r="C37" s="32" t="s">
        <v>264</v>
      </c>
      <c r="D37" s="32" t="s">
        <v>153</v>
      </c>
      <c r="E37" s="32" t="s">
        <v>265</v>
      </c>
      <c r="F37" s="32">
        <v>147</v>
      </c>
      <c r="G37" s="32" t="s">
        <v>155</v>
      </c>
      <c r="H37" s="33">
        <v>29871</v>
      </c>
    </row>
    <row r="38" spans="1:8" ht="14.25" customHeight="1" x14ac:dyDescent="0.2">
      <c r="A38" s="32">
        <v>1067</v>
      </c>
      <c r="B38" s="32" t="s">
        <v>161</v>
      </c>
      <c r="C38" s="32" t="s">
        <v>162</v>
      </c>
      <c r="D38" s="32" t="s">
        <v>156</v>
      </c>
      <c r="E38" s="32" t="s">
        <v>163</v>
      </c>
      <c r="F38" s="32">
        <v>123</v>
      </c>
      <c r="G38" s="32" t="s">
        <v>158</v>
      </c>
      <c r="H38" s="33">
        <v>32040</v>
      </c>
    </row>
    <row r="39" spans="1:8" ht="14.25" customHeight="1" x14ac:dyDescent="0.2">
      <c r="A39" s="32">
        <v>1299</v>
      </c>
      <c r="B39" s="32" t="s">
        <v>192</v>
      </c>
      <c r="C39" s="32" t="s">
        <v>193</v>
      </c>
      <c r="D39" s="32" t="s">
        <v>194</v>
      </c>
      <c r="E39" s="32" t="s">
        <v>195</v>
      </c>
      <c r="F39" s="32">
        <v>127</v>
      </c>
      <c r="G39" s="32" t="s">
        <v>158</v>
      </c>
      <c r="H39" s="33">
        <v>32863</v>
      </c>
    </row>
    <row r="40" spans="1:8" ht="14.25" customHeight="1" x14ac:dyDescent="0.2">
      <c r="A40" s="32">
        <v>1302</v>
      </c>
      <c r="B40" s="32" t="s">
        <v>196</v>
      </c>
      <c r="C40" s="32" t="s">
        <v>197</v>
      </c>
      <c r="D40" s="32" t="s">
        <v>184</v>
      </c>
      <c r="E40" s="32" t="s">
        <v>198</v>
      </c>
      <c r="F40" s="32">
        <v>139</v>
      </c>
      <c r="G40" s="32" t="s">
        <v>158</v>
      </c>
      <c r="H40" s="33">
        <v>30900</v>
      </c>
    </row>
    <row r="41" spans="1:8" ht="14.25" customHeight="1" x14ac:dyDescent="0.2">
      <c r="A41" s="32">
        <v>1922</v>
      </c>
      <c r="B41" s="32" t="s">
        <v>49</v>
      </c>
      <c r="C41" s="32" t="s">
        <v>259</v>
      </c>
      <c r="D41" s="32" t="s">
        <v>153</v>
      </c>
      <c r="E41" s="32" t="s">
        <v>260</v>
      </c>
      <c r="F41" s="32">
        <v>146</v>
      </c>
      <c r="G41" s="32" t="s">
        <v>155</v>
      </c>
      <c r="H41" s="33">
        <v>31751</v>
      </c>
    </row>
    <row r="42" spans="1:8" ht="14.25" customHeight="1" x14ac:dyDescent="0.2">
      <c r="A42" s="32">
        <v>1310</v>
      </c>
      <c r="B42" s="32" t="s">
        <v>49</v>
      </c>
      <c r="C42" s="32" t="s">
        <v>199</v>
      </c>
      <c r="D42" s="32" t="s">
        <v>194</v>
      </c>
      <c r="E42" s="32" t="s">
        <v>200</v>
      </c>
      <c r="F42" s="32">
        <v>137</v>
      </c>
      <c r="G42" s="32" t="s">
        <v>158</v>
      </c>
      <c r="H42" s="33">
        <v>31689</v>
      </c>
    </row>
    <row r="43" spans="1:8" ht="14.25" customHeight="1" x14ac:dyDescent="0.2">
      <c r="A43" s="32">
        <v>9999</v>
      </c>
      <c r="B43" s="32" t="s">
        <v>49</v>
      </c>
      <c r="C43" s="32" t="s">
        <v>152</v>
      </c>
      <c r="D43" s="32" t="s">
        <v>153</v>
      </c>
      <c r="E43" s="32" t="s">
        <v>154</v>
      </c>
      <c r="F43" s="32">
        <v>109</v>
      </c>
      <c r="G43" s="32" t="s">
        <v>155</v>
      </c>
      <c r="H43" s="33">
        <v>31446</v>
      </c>
    </row>
    <row r="44" spans="1:8" ht="14.25" customHeight="1" x14ac:dyDescent="0.2">
      <c r="A44" s="32">
        <v>1054</v>
      </c>
      <c r="B44" s="32" t="s">
        <v>49</v>
      </c>
      <c r="C44" s="32" t="s">
        <v>70</v>
      </c>
      <c r="D44" s="32" t="s">
        <v>156</v>
      </c>
      <c r="E44" s="32" t="s">
        <v>157</v>
      </c>
      <c r="F44" s="32">
        <v>148</v>
      </c>
      <c r="G44" s="32" t="s">
        <v>158</v>
      </c>
      <c r="H44" s="33">
        <v>33344</v>
      </c>
    </row>
    <row r="45" spans="1:8" ht="14.25" customHeight="1" x14ac:dyDescent="0.2">
      <c r="A45" s="32">
        <v>1333</v>
      </c>
      <c r="B45" s="32" t="s">
        <v>204</v>
      </c>
      <c r="C45" s="32" t="s">
        <v>205</v>
      </c>
      <c r="D45" s="32" t="s">
        <v>181</v>
      </c>
      <c r="E45" s="32" t="s">
        <v>206</v>
      </c>
      <c r="F45" s="32">
        <v>122</v>
      </c>
      <c r="G45" s="32" t="s">
        <v>155</v>
      </c>
      <c r="H45" s="33">
        <v>32979</v>
      </c>
    </row>
    <row r="46" spans="1:8" ht="14.25" customHeight="1" x14ac:dyDescent="0.2">
      <c r="A46" s="32">
        <v>1572</v>
      </c>
      <c r="B46" s="32" t="s">
        <v>227</v>
      </c>
      <c r="C46" s="32" t="s">
        <v>228</v>
      </c>
      <c r="D46" s="32" t="s">
        <v>153</v>
      </c>
      <c r="E46" s="32" t="s">
        <v>229</v>
      </c>
      <c r="F46" s="32">
        <v>116</v>
      </c>
      <c r="G46" s="32" t="s">
        <v>155</v>
      </c>
      <c r="H46" s="33">
        <v>32339</v>
      </c>
    </row>
    <row r="47" spans="1:8" ht="14.25" customHeight="1" x14ac:dyDescent="0.2">
      <c r="A47" s="32">
        <v>1329</v>
      </c>
      <c r="B47" s="32" t="s">
        <v>201</v>
      </c>
      <c r="C47" s="32" t="s">
        <v>202</v>
      </c>
      <c r="D47" s="32" t="s">
        <v>171</v>
      </c>
      <c r="E47" s="32" t="s">
        <v>203</v>
      </c>
      <c r="F47" s="32">
        <v>151</v>
      </c>
      <c r="G47" s="32" t="s">
        <v>168</v>
      </c>
      <c r="H47" s="33">
        <v>32561</v>
      </c>
    </row>
    <row r="48" spans="1:8" ht="14.25" customHeight="1" x14ac:dyDescent="0.2">
      <c r="A48" s="32">
        <v>1368</v>
      </c>
      <c r="B48" s="32" t="s">
        <v>213</v>
      </c>
      <c r="C48" s="32" t="s">
        <v>214</v>
      </c>
      <c r="D48" s="32" t="s">
        <v>166</v>
      </c>
      <c r="E48" s="32" t="s">
        <v>215</v>
      </c>
      <c r="F48" s="32">
        <v>132</v>
      </c>
      <c r="G48" s="32" t="s">
        <v>168</v>
      </c>
      <c r="H48" s="33">
        <v>30386</v>
      </c>
    </row>
    <row r="49" spans="1:8" ht="14.25" customHeight="1" x14ac:dyDescent="0.2">
      <c r="A49" s="32">
        <v>1352</v>
      </c>
      <c r="B49" s="32" t="s">
        <v>207</v>
      </c>
      <c r="C49" s="32" t="s">
        <v>208</v>
      </c>
      <c r="D49" s="32" t="s">
        <v>153</v>
      </c>
      <c r="E49" s="32" t="s">
        <v>209</v>
      </c>
      <c r="F49" s="32">
        <v>100</v>
      </c>
      <c r="G49" s="32" t="s">
        <v>155</v>
      </c>
      <c r="H49" s="33">
        <v>30212</v>
      </c>
    </row>
    <row r="50" spans="1:8" ht="14.25" customHeight="1" x14ac:dyDescent="0.2">
      <c r="A50" s="32">
        <v>1908</v>
      </c>
      <c r="B50" s="32" t="s">
        <v>257</v>
      </c>
      <c r="C50" s="32" t="s">
        <v>68</v>
      </c>
      <c r="D50" s="32" t="s">
        <v>156</v>
      </c>
      <c r="E50" s="32" t="s">
        <v>258</v>
      </c>
      <c r="F50" s="32">
        <v>152</v>
      </c>
      <c r="G50" s="32" t="s">
        <v>158</v>
      </c>
      <c r="H50" s="33">
        <v>30817</v>
      </c>
    </row>
    <row r="51" spans="1:8" ht="14.25" customHeight="1" x14ac:dyDescent="0.2">
      <c r="A51" s="32">
        <v>1290</v>
      </c>
      <c r="B51" s="32" t="s">
        <v>186</v>
      </c>
      <c r="C51" s="32" t="s">
        <v>187</v>
      </c>
      <c r="D51" s="32" t="s">
        <v>166</v>
      </c>
      <c r="E51" s="32" t="s">
        <v>188</v>
      </c>
      <c r="F51" s="32">
        <v>113</v>
      </c>
      <c r="G51" s="32" t="s">
        <v>168</v>
      </c>
      <c r="H51" s="33">
        <v>31050</v>
      </c>
    </row>
    <row r="52" spans="1:8" ht="14.25" customHeight="1" x14ac:dyDescent="0.2">
      <c r="A52" s="32">
        <v>1078</v>
      </c>
      <c r="B52" s="32" t="s">
        <v>169</v>
      </c>
      <c r="C52" s="32" t="s">
        <v>170</v>
      </c>
      <c r="D52" s="32" t="s">
        <v>171</v>
      </c>
      <c r="E52" s="32" t="s">
        <v>172</v>
      </c>
      <c r="F52" s="32">
        <v>101</v>
      </c>
      <c r="G52" s="32" t="s">
        <v>168</v>
      </c>
      <c r="H52" s="33">
        <v>31503</v>
      </c>
    </row>
    <row r="53" spans="1:8" ht="14.25" customHeight="1" x14ac:dyDescent="0.2">
      <c r="A53" s="32">
        <v>1426</v>
      </c>
      <c r="B53" s="32" t="s">
        <v>216</v>
      </c>
      <c r="C53" s="32" t="s">
        <v>65</v>
      </c>
      <c r="D53" s="32" t="s">
        <v>153</v>
      </c>
      <c r="E53" s="32" t="s">
        <v>217</v>
      </c>
      <c r="F53" s="32">
        <v>128</v>
      </c>
      <c r="G53" s="32" t="s">
        <v>155</v>
      </c>
      <c r="H53" s="33">
        <v>28376</v>
      </c>
    </row>
    <row r="54" spans="1:8" ht="14.25" customHeight="1" x14ac:dyDescent="0.2">
      <c r="A54" s="32">
        <v>1949</v>
      </c>
      <c r="B54" s="32" t="s">
        <v>263</v>
      </c>
      <c r="C54" s="32" t="s">
        <v>264</v>
      </c>
      <c r="D54" s="32" t="s">
        <v>153</v>
      </c>
      <c r="E54" s="32" t="s">
        <v>265</v>
      </c>
      <c r="F54" s="32">
        <v>147</v>
      </c>
      <c r="G54" s="32" t="s">
        <v>155</v>
      </c>
      <c r="H54" s="33">
        <v>29871</v>
      </c>
    </row>
    <row r="55" spans="1:8" ht="14.25" customHeight="1" x14ac:dyDescent="0.2">
      <c r="H55" s="36"/>
    </row>
    <row r="56" spans="1:8" ht="14.25" customHeight="1" x14ac:dyDescent="0.2">
      <c r="H56" s="36"/>
    </row>
    <row r="57" spans="1:8" ht="14.25" customHeight="1" x14ac:dyDescent="0.2">
      <c r="H57" s="36"/>
    </row>
    <row r="58" spans="1:8" ht="14.25" customHeight="1" x14ac:dyDescent="0.2">
      <c r="H58" s="36"/>
    </row>
    <row r="59" spans="1:8" ht="14.25" customHeight="1" x14ac:dyDescent="0.2">
      <c r="H59" s="36"/>
    </row>
    <row r="60" spans="1:8" ht="14.25" customHeight="1" x14ac:dyDescent="0.2">
      <c r="H60" s="36"/>
    </row>
    <row r="61" spans="1:8" ht="14.25" customHeight="1" x14ac:dyDescent="0.2">
      <c r="H61" s="36"/>
    </row>
    <row r="62" spans="1:8" ht="14.25" customHeight="1" x14ac:dyDescent="0.2">
      <c r="H62" s="36"/>
    </row>
  </sheetData>
  <sortState xmlns:xlrd2="http://schemas.microsoft.com/office/spreadsheetml/2017/richdata2" ref="A2:H50">
    <sortCondition ref="B2:B50"/>
    <sortCondition ref="C2:C50"/>
  </sortState>
  <phoneticPr fontId="0" type="noConversion"/>
  <pageMargins left="0.75" right="0.75" top="1" bottom="1" header="0.5" footer="0.5"/>
  <pageSetup orientation="portrait"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K92"/>
  <sheetViews>
    <sheetView topLeftCell="A2" workbookViewId="0">
      <selection activeCell="C4" sqref="C4"/>
    </sheetView>
  </sheetViews>
  <sheetFormatPr defaultRowHeight="12.75" x14ac:dyDescent="0.2"/>
  <cols>
    <col min="1" max="1" width="13.7109375" bestFit="1" customWidth="1"/>
    <col min="2" max="2" width="32.5703125" bestFit="1" customWidth="1"/>
    <col min="3" max="3" width="22" bestFit="1" customWidth="1"/>
    <col min="4" max="4" width="27.42578125" bestFit="1" customWidth="1"/>
    <col min="5" max="5" width="40.5703125" bestFit="1" customWidth="1"/>
    <col min="6" max="6" width="13.28515625" bestFit="1" customWidth="1"/>
    <col min="7" max="7" width="13.140625" bestFit="1" customWidth="1"/>
    <col min="8" max="8" width="13.5703125" bestFit="1" customWidth="1"/>
    <col min="9" max="9" width="10.5703125" bestFit="1" customWidth="1"/>
    <col min="10" max="11" width="15.5703125" bestFit="1" customWidth="1"/>
  </cols>
  <sheetData>
    <row r="1" spans="1:11" x14ac:dyDescent="0.2">
      <c r="A1" t="s">
        <v>745</v>
      </c>
      <c r="B1" t="s">
        <v>746</v>
      </c>
      <c r="C1" t="s">
        <v>747</v>
      </c>
      <c r="D1" t="s">
        <v>748</v>
      </c>
      <c r="E1" t="s">
        <v>749</v>
      </c>
      <c r="F1" t="s">
        <v>750</v>
      </c>
      <c r="G1" t="s">
        <v>114</v>
      </c>
      <c r="H1" t="s">
        <v>751</v>
      </c>
      <c r="I1" t="s">
        <v>752</v>
      </c>
      <c r="J1" t="s">
        <v>753</v>
      </c>
      <c r="K1" t="s">
        <v>754</v>
      </c>
    </row>
    <row r="2" spans="1:11" x14ac:dyDescent="0.2">
      <c r="A2" t="s">
        <v>755</v>
      </c>
      <c r="B2" t="s">
        <v>756</v>
      </c>
      <c r="C2" t="s">
        <v>757</v>
      </c>
      <c r="D2" t="s">
        <v>758</v>
      </c>
      <c r="E2" t="s">
        <v>759</v>
      </c>
      <c r="F2" t="s">
        <v>760</v>
      </c>
      <c r="H2" t="s">
        <v>761</v>
      </c>
      <c r="I2" t="s">
        <v>762</v>
      </c>
      <c r="J2" t="s">
        <v>763</v>
      </c>
      <c r="K2" t="s">
        <v>764</v>
      </c>
    </row>
    <row r="3" spans="1:11" x14ac:dyDescent="0.2">
      <c r="A3" t="s">
        <v>765</v>
      </c>
      <c r="B3" t="s">
        <v>766</v>
      </c>
      <c r="C3" t="s">
        <v>767</v>
      </c>
      <c r="D3" t="s">
        <v>768</v>
      </c>
      <c r="E3" t="s">
        <v>769</v>
      </c>
      <c r="F3" t="s">
        <v>770</v>
      </c>
      <c r="H3" t="s">
        <v>771</v>
      </c>
      <c r="I3" t="s">
        <v>772</v>
      </c>
      <c r="J3" t="s">
        <v>773</v>
      </c>
      <c r="K3" t="s">
        <v>774</v>
      </c>
    </row>
    <row r="4" spans="1:11" x14ac:dyDescent="0.2">
      <c r="A4" t="s">
        <v>775</v>
      </c>
      <c r="B4" t="s">
        <v>776</v>
      </c>
      <c r="C4" t="s">
        <v>777</v>
      </c>
      <c r="D4" t="s">
        <v>768</v>
      </c>
      <c r="E4" t="s">
        <v>778</v>
      </c>
      <c r="F4" t="s">
        <v>770</v>
      </c>
      <c r="H4" t="s">
        <v>779</v>
      </c>
      <c r="I4" t="s">
        <v>772</v>
      </c>
      <c r="J4" t="s">
        <v>780</v>
      </c>
    </row>
    <row r="5" spans="1:11" x14ac:dyDescent="0.2">
      <c r="A5" t="s">
        <v>781</v>
      </c>
      <c r="B5" t="s">
        <v>782</v>
      </c>
      <c r="C5" t="s">
        <v>783</v>
      </c>
      <c r="D5" t="s">
        <v>758</v>
      </c>
      <c r="E5" t="s">
        <v>784</v>
      </c>
      <c r="F5" t="s">
        <v>785</v>
      </c>
      <c r="H5" t="s">
        <v>786</v>
      </c>
      <c r="I5" t="s">
        <v>787</v>
      </c>
      <c r="J5" t="s">
        <v>788</v>
      </c>
      <c r="K5" t="s">
        <v>789</v>
      </c>
    </row>
    <row r="6" spans="1:11" x14ac:dyDescent="0.2">
      <c r="A6" t="s">
        <v>790</v>
      </c>
      <c r="B6" t="s">
        <v>791</v>
      </c>
      <c r="C6" t="s">
        <v>792</v>
      </c>
      <c r="D6" t="s">
        <v>793</v>
      </c>
      <c r="E6" t="s">
        <v>794</v>
      </c>
      <c r="F6" t="s">
        <v>795</v>
      </c>
      <c r="H6" t="s">
        <v>796</v>
      </c>
      <c r="I6" t="s">
        <v>797</v>
      </c>
      <c r="J6" t="s">
        <v>798</v>
      </c>
      <c r="K6" t="s">
        <v>799</v>
      </c>
    </row>
    <row r="7" spans="1:11" x14ac:dyDescent="0.2">
      <c r="A7" t="s">
        <v>800</v>
      </c>
      <c r="B7" t="s">
        <v>801</v>
      </c>
      <c r="C7" t="s">
        <v>802</v>
      </c>
      <c r="D7" t="s">
        <v>758</v>
      </c>
      <c r="E7" t="s">
        <v>803</v>
      </c>
      <c r="F7" t="s">
        <v>804</v>
      </c>
      <c r="H7" t="s">
        <v>805</v>
      </c>
      <c r="I7" t="s">
        <v>762</v>
      </c>
      <c r="J7" t="s">
        <v>806</v>
      </c>
      <c r="K7" t="s">
        <v>807</v>
      </c>
    </row>
    <row r="8" spans="1:11" x14ac:dyDescent="0.2">
      <c r="A8" t="s">
        <v>808</v>
      </c>
      <c r="B8" t="s">
        <v>809</v>
      </c>
      <c r="C8" t="s">
        <v>810</v>
      </c>
      <c r="D8" t="s">
        <v>811</v>
      </c>
      <c r="E8" t="s">
        <v>812</v>
      </c>
      <c r="F8" t="s">
        <v>813</v>
      </c>
      <c r="H8" t="s">
        <v>814</v>
      </c>
      <c r="I8" t="s">
        <v>815</v>
      </c>
      <c r="J8" t="s">
        <v>816</v>
      </c>
      <c r="K8" t="s">
        <v>817</v>
      </c>
    </row>
    <row r="9" spans="1:11" x14ac:dyDescent="0.2">
      <c r="A9" t="s">
        <v>818</v>
      </c>
      <c r="B9" t="s">
        <v>819</v>
      </c>
      <c r="C9" t="s">
        <v>820</v>
      </c>
      <c r="D9" t="s">
        <v>768</v>
      </c>
      <c r="E9" t="s">
        <v>821</v>
      </c>
      <c r="F9" t="s">
        <v>822</v>
      </c>
      <c r="H9" t="s">
        <v>823</v>
      </c>
      <c r="I9" t="s">
        <v>824</v>
      </c>
      <c r="J9" t="s">
        <v>825</v>
      </c>
      <c r="K9" t="s">
        <v>826</v>
      </c>
    </row>
    <row r="10" spans="1:11" x14ac:dyDescent="0.2">
      <c r="A10" t="s">
        <v>827</v>
      </c>
      <c r="B10" t="s">
        <v>828</v>
      </c>
      <c r="C10" t="s">
        <v>829</v>
      </c>
      <c r="D10" t="s">
        <v>768</v>
      </c>
      <c r="E10" t="s">
        <v>830</v>
      </c>
      <c r="F10" t="s">
        <v>831</v>
      </c>
      <c r="H10" t="s">
        <v>832</v>
      </c>
      <c r="I10" t="s">
        <v>815</v>
      </c>
      <c r="J10" t="s">
        <v>833</v>
      </c>
      <c r="K10" t="s">
        <v>834</v>
      </c>
    </row>
    <row r="11" spans="1:11" x14ac:dyDescent="0.2">
      <c r="A11" t="s">
        <v>835</v>
      </c>
      <c r="B11" t="s">
        <v>836</v>
      </c>
      <c r="C11" t="s">
        <v>837</v>
      </c>
      <c r="D11" t="s">
        <v>838</v>
      </c>
      <c r="E11" t="s">
        <v>839</v>
      </c>
      <c r="F11" t="s">
        <v>840</v>
      </c>
      <c r="G11" t="s">
        <v>841</v>
      </c>
      <c r="H11" t="s">
        <v>842</v>
      </c>
      <c r="I11" t="s">
        <v>843</v>
      </c>
      <c r="J11" t="s">
        <v>844</v>
      </c>
      <c r="K11" t="s">
        <v>845</v>
      </c>
    </row>
    <row r="12" spans="1:11" x14ac:dyDescent="0.2">
      <c r="A12" t="s">
        <v>846</v>
      </c>
      <c r="B12" t="s">
        <v>847</v>
      </c>
      <c r="C12" t="s">
        <v>848</v>
      </c>
      <c r="D12" t="s">
        <v>758</v>
      </c>
      <c r="E12" t="s">
        <v>849</v>
      </c>
      <c r="F12" t="s">
        <v>785</v>
      </c>
      <c r="H12" t="s">
        <v>850</v>
      </c>
      <c r="I12" t="s">
        <v>787</v>
      </c>
      <c r="J12" t="s">
        <v>851</v>
      </c>
    </row>
    <row r="13" spans="1:11" x14ac:dyDescent="0.2">
      <c r="A13" t="s">
        <v>852</v>
      </c>
      <c r="B13" t="s">
        <v>853</v>
      </c>
      <c r="C13" t="s">
        <v>854</v>
      </c>
      <c r="D13" t="s">
        <v>855</v>
      </c>
      <c r="E13" t="s">
        <v>856</v>
      </c>
      <c r="F13" t="s">
        <v>857</v>
      </c>
      <c r="H13" t="s">
        <v>858</v>
      </c>
      <c r="I13" t="s">
        <v>859</v>
      </c>
      <c r="J13" t="s">
        <v>860</v>
      </c>
      <c r="K13" t="s">
        <v>861</v>
      </c>
    </row>
    <row r="14" spans="1:11" x14ac:dyDescent="0.2">
      <c r="A14" t="s">
        <v>862</v>
      </c>
      <c r="B14" t="s">
        <v>863</v>
      </c>
      <c r="C14" t="s">
        <v>864</v>
      </c>
      <c r="D14" t="s">
        <v>811</v>
      </c>
      <c r="E14" t="s">
        <v>865</v>
      </c>
      <c r="F14" t="s">
        <v>770</v>
      </c>
      <c r="H14" t="s">
        <v>866</v>
      </c>
      <c r="I14" t="s">
        <v>772</v>
      </c>
      <c r="J14" t="s">
        <v>867</v>
      </c>
      <c r="K14" t="s">
        <v>868</v>
      </c>
    </row>
    <row r="15" spans="1:11" x14ac:dyDescent="0.2">
      <c r="A15" t="s">
        <v>869</v>
      </c>
      <c r="B15" t="s">
        <v>870</v>
      </c>
      <c r="C15" t="s">
        <v>871</v>
      </c>
      <c r="D15" t="s">
        <v>768</v>
      </c>
      <c r="E15" t="s">
        <v>872</v>
      </c>
      <c r="F15" t="s">
        <v>873</v>
      </c>
      <c r="H15" t="s">
        <v>874</v>
      </c>
      <c r="I15" t="s">
        <v>875</v>
      </c>
      <c r="J15" t="s">
        <v>876</v>
      </c>
    </row>
    <row r="16" spans="1:11" x14ac:dyDescent="0.2">
      <c r="A16" t="s">
        <v>877</v>
      </c>
      <c r="B16" t="s">
        <v>878</v>
      </c>
      <c r="C16" t="s">
        <v>879</v>
      </c>
      <c r="D16" t="s">
        <v>880</v>
      </c>
      <c r="E16" t="s">
        <v>881</v>
      </c>
      <c r="F16" t="s">
        <v>882</v>
      </c>
      <c r="G16" t="s">
        <v>883</v>
      </c>
      <c r="H16" t="s">
        <v>884</v>
      </c>
      <c r="I16" t="s">
        <v>885</v>
      </c>
      <c r="J16" t="s">
        <v>886</v>
      </c>
    </row>
    <row r="17" spans="1:11" x14ac:dyDescent="0.2">
      <c r="A17" t="s">
        <v>887</v>
      </c>
      <c r="B17" t="s">
        <v>888</v>
      </c>
      <c r="C17" t="s">
        <v>889</v>
      </c>
      <c r="D17" t="s">
        <v>758</v>
      </c>
      <c r="E17" t="s">
        <v>890</v>
      </c>
      <c r="F17" t="s">
        <v>785</v>
      </c>
      <c r="H17" t="s">
        <v>891</v>
      </c>
      <c r="I17" t="s">
        <v>787</v>
      </c>
      <c r="J17" t="s">
        <v>892</v>
      </c>
      <c r="K17" t="s">
        <v>893</v>
      </c>
    </row>
    <row r="18" spans="1:11" x14ac:dyDescent="0.2">
      <c r="A18" t="s">
        <v>894</v>
      </c>
      <c r="B18" t="s">
        <v>895</v>
      </c>
      <c r="C18" t="s">
        <v>896</v>
      </c>
      <c r="D18" t="s">
        <v>793</v>
      </c>
      <c r="E18" t="s">
        <v>897</v>
      </c>
      <c r="F18" t="s">
        <v>898</v>
      </c>
      <c r="H18" t="s">
        <v>899</v>
      </c>
      <c r="I18" t="s">
        <v>762</v>
      </c>
      <c r="J18" t="s">
        <v>900</v>
      </c>
      <c r="K18" t="s">
        <v>901</v>
      </c>
    </row>
    <row r="19" spans="1:11" x14ac:dyDescent="0.2">
      <c r="A19" t="s">
        <v>902</v>
      </c>
      <c r="B19" t="s">
        <v>903</v>
      </c>
      <c r="C19" t="s">
        <v>904</v>
      </c>
      <c r="D19" t="s">
        <v>768</v>
      </c>
      <c r="E19" t="s">
        <v>905</v>
      </c>
      <c r="F19" t="s">
        <v>906</v>
      </c>
      <c r="H19" t="s">
        <v>907</v>
      </c>
      <c r="I19" t="s">
        <v>815</v>
      </c>
      <c r="J19" t="s">
        <v>908</v>
      </c>
      <c r="K19" t="s">
        <v>909</v>
      </c>
    </row>
    <row r="20" spans="1:11" x14ac:dyDescent="0.2">
      <c r="A20" t="s">
        <v>910</v>
      </c>
      <c r="B20" t="s">
        <v>911</v>
      </c>
      <c r="C20" t="s">
        <v>912</v>
      </c>
      <c r="D20" t="s">
        <v>855</v>
      </c>
      <c r="E20" t="s">
        <v>913</v>
      </c>
      <c r="F20" t="s">
        <v>785</v>
      </c>
      <c r="H20" t="s">
        <v>914</v>
      </c>
      <c r="I20" t="s">
        <v>787</v>
      </c>
      <c r="J20" t="s">
        <v>915</v>
      </c>
      <c r="K20" t="s">
        <v>916</v>
      </c>
    </row>
    <row r="21" spans="1:11" x14ac:dyDescent="0.2">
      <c r="A21" t="s">
        <v>917</v>
      </c>
      <c r="B21" t="s">
        <v>918</v>
      </c>
      <c r="C21" t="s">
        <v>919</v>
      </c>
      <c r="D21" t="s">
        <v>920</v>
      </c>
      <c r="E21" t="s">
        <v>921</v>
      </c>
      <c r="F21" t="s">
        <v>922</v>
      </c>
      <c r="H21" t="s">
        <v>923</v>
      </c>
      <c r="I21" t="s">
        <v>924</v>
      </c>
      <c r="J21" t="s">
        <v>925</v>
      </c>
      <c r="K21" t="s">
        <v>926</v>
      </c>
    </row>
    <row r="22" spans="1:11" x14ac:dyDescent="0.2">
      <c r="A22" t="s">
        <v>927</v>
      </c>
      <c r="B22" t="s">
        <v>928</v>
      </c>
      <c r="C22" t="s">
        <v>929</v>
      </c>
      <c r="D22" t="s">
        <v>930</v>
      </c>
      <c r="E22" t="s">
        <v>931</v>
      </c>
      <c r="F22" t="s">
        <v>882</v>
      </c>
      <c r="G22" t="s">
        <v>883</v>
      </c>
      <c r="H22" t="s">
        <v>932</v>
      </c>
      <c r="I22" t="s">
        <v>885</v>
      </c>
      <c r="J22" t="s">
        <v>933</v>
      </c>
    </row>
    <row r="23" spans="1:11" x14ac:dyDescent="0.2">
      <c r="A23" t="s">
        <v>934</v>
      </c>
      <c r="B23" t="s">
        <v>935</v>
      </c>
      <c r="C23" t="s">
        <v>936</v>
      </c>
      <c r="D23" t="s">
        <v>838</v>
      </c>
      <c r="E23" t="s">
        <v>937</v>
      </c>
      <c r="F23" t="s">
        <v>822</v>
      </c>
      <c r="H23" t="s">
        <v>938</v>
      </c>
      <c r="I23" t="s">
        <v>824</v>
      </c>
      <c r="J23" t="s">
        <v>939</v>
      </c>
      <c r="K23" t="s">
        <v>940</v>
      </c>
    </row>
    <row r="24" spans="1:11" x14ac:dyDescent="0.2">
      <c r="A24" t="s">
        <v>941</v>
      </c>
      <c r="B24" t="s">
        <v>942</v>
      </c>
      <c r="C24" t="s">
        <v>943</v>
      </c>
      <c r="D24" t="s">
        <v>944</v>
      </c>
      <c r="E24" t="s">
        <v>945</v>
      </c>
      <c r="F24" t="s">
        <v>946</v>
      </c>
      <c r="H24" t="s">
        <v>947</v>
      </c>
      <c r="I24" t="s">
        <v>815</v>
      </c>
      <c r="J24" t="s">
        <v>948</v>
      </c>
      <c r="K24" t="s">
        <v>949</v>
      </c>
    </row>
    <row r="25" spans="1:11" x14ac:dyDescent="0.2">
      <c r="A25" t="s">
        <v>950</v>
      </c>
      <c r="B25" t="s">
        <v>951</v>
      </c>
      <c r="C25" t="s">
        <v>952</v>
      </c>
      <c r="D25" t="s">
        <v>768</v>
      </c>
      <c r="E25" t="s">
        <v>953</v>
      </c>
      <c r="F25" t="s">
        <v>954</v>
      </c>
      <c r="H25" t="s">
        <v>955</v>
      </c>
      <c r="I25" t="s">
        <v>797</v>
      </c>
      <c r="J25" t="s">
        <v>956</v>
      </c>
    </row>
    <row r="26" spans="1:11" x14ac:dyDescent="0.2">
      <c r="A26" t="s">
        <v>957</v>
      </c>
      <c r="B26" t="s">
        <v>958</v>
      </c>
      <c r="C26" t="s">
        <v>959</v>
      </c>
      <c r="D26" t="s">
        <v>811</v>
      </c>
      <c r="E26" t="s">
        <v>960</v>
      </c>
      <c r="F26" t="s">
        <v>961</v>
      </c>
      <c r="H26" t="s">
        <v>962</v>
      </c>
      <c r="I26" t="s">
        <v>762</v>
      </c>
      <c r="J26" t="s">
        <v>963</v>
      </c>
      <c r="K26" t="s">
        <v>964</v>
      </c>
    </row>
    <row r="27" spans="1:11" x14ac:dyDescent="0.2">
      <c r="A27" t="s">
        <v>965</v>
      </c>
      <c r="B27" t="s">
        <v>966</v>
      </c>
      <c r="C27" t="s">
        <v>967</v>
      </c>
      <c r="D27" t="s">
        <v>811</v>
      </c>
      <c r="E27" t="s">
        <v>968</v>
      </c>
      <c r="F27" t="s">
        <v>906</v>
      </c>
      <c r="H27" t="s">
        <v>907</v>
      </c>
      <c r="I27" t="s">
        <v>815</v>
      </c>
      <c r="J27" t="s">
        <v>969</v>
      </c>
      <c r="K27" t="s">
        <v>970</v>
      </c>
    </row>
    <row r="28" spans="1:11" x14ac:dyDescent="0.2">
      <c r="A28" t="s">
        <v>971</v>
      </c>
      <c r="B28" t="s">
        <v>972</v>
      </c>
      <c r="C28" t="s">
        <v>973</v>
      </c>
      <c r="D28" t="s">
        <v>758</v>
      </c>
      <c r="E28" t="s">
        <v>974</v>
      </c>
      <c r="F28" t="s">
        <v>975</v>
      </c>
      <c r="H28" t="s">
        <v>976</v>
      </c>
      <c r="I28" t="s">
        <v>977</v>
      </c>
      <c r="J28" t="s">
        <v>978</v>
      </c>
      <c r="K28" t="s">
        <v>979</v>
      </c>
    </row>
    <row r="29" spans="1:11" x14ac:dyDescent="0.2">
      <c r="A29" t="s">
        <v>980</v>
      </c>
      <c r="B29" t="s">
        <v>981</v>
      </c>
      <c r="C29" t="s">
        <v>982</v>
      </c>
      <c r="D29" t="s">
        <v>920</v>
      </c>
      <c r="E29" t="s">
        <v>983</v>
      </c>
      <c r="F29" t="s">
        <v>984</v>
      </c>
      <c r="H29" t="s">
        <v>985</v>
      </c>
      <c r="I29" t="s">
        <v>986</v>
      </c>
      <c r="J29" t="s">
        <v>987</v>
      </c>
      <c r="K29" t="s">
        <v>988</v>
      </c>
    </row>
    <row r="30" spans="1:11" x14ac:dyDescent="0.2">
      <c r="A30" t="s">
        <v>989</v>
      </c>
      <c r="B30" t="s">
        <v>990</v>
      </c>
      <c r="C30" t="s">
        <v>991</v>
      </c>
      <c r="D30" t="s">
        <v>811</v>
      </c>
      <c r="E30" t="s">
        <v>992</v>
      </c>
      <c r="F30" t="s">
        <v>993</v>
      </c>
      <c r="H30" t="s">
        <v>994</v>
      </c>
      <c r="I30" t="s">
        <v>824</v>
      </c>
      <c r="J30" t="s">
        <v>995</v>
      </c>
      <c r="K30" t="s">
        <v>996</v>
      </c>
    </row>
    <row r="31" spans="1:11" x14ac:dyDescent="0.2">
      <c r="A31" t="s">
        <v>997</v>
      </c>
      <c r="B31" t="s">
        <v>998</v>
      </c>
      <c r="C31" t="s">
        <v>999</v>
      </c>
      <c r="D31" t="s">
        <v>920</v>
      </c>
      <c r="E31" t="s">
        <v>1000</v>
      </c>
      <c r="F31" t="s">
        <v>1001</v>
      </c>
      <c r="H31" t="s">
        <v>1002</v>
      </c>
      <c r="I31" t="s">
        <v>824</v>
      </c>
      <c r="J31" t="s">
        <v>1003</v>
      </c>
    </row>
    <row r="32" spans="1:11" x14ac:dyDescent="0.2">
      <c r="A32" t="s">
        <v>1004</v>
      </c>
      <c r="B32" t="s">
        <v>1005</v>
      </c>
      <c r="C32" t="s">
        <v>1006</v>
      </c>
      <c r="D32" t="s">
        <v>880</v>
      </c>
      <c r="E32" t="s">
        <v>1007</v>
      </c>
      <c r="F32" t="s">
        <v>1008</v>
      </c>
      <c r="G32" t="s">
        <v>883</v>
      </c>
      <c r="H32" t="s">
        <v>1009</v>
      </c>
      <c r="I32" t="s">
        <v>885</v>
      </c>
      <c r="J32" t="s">
        <v>1010</v>
      </c>
    </row>
    <row r="33" spans="1:11" x14ac:dyDescent="0.2">
      <c r="A33" t="s">
        <v>1011</v>
      </c>
      <c r="B33" t="s">
        <v>1012</v>
      </c>
      <c r="C33" t="s">
        <v>1013</v>
      </c>
      <c r="D33" t="s">
        <v>811</v>
      </c>
      <c r="E33" t="s">
        <v>1014</v>
      </c>
      <c r="F33" t="s">
        <v>1015</v>
      </c>
      <c r="G33" t="s">
        <v>1016</v>
      </c>
      <c r="H33" t="s">
        <v>1017</v>
      </c>
      <c r="I33" t="s">
        <v>1018</v>
      </c>
      <c r="J33" t="s">
        <v>1019</v>
      </c>
    </row>
    <row r="34" spans="1:11" x14ac:dyDescent="0.2">
      <c r="A34" t="s">
        <v>1020</v>
      </c>
      <c r="B34" t="s">
        <v>1021</v>
      </c>
      <c r="C34" t="s">
        <v>1022</v>
      </c>
      <c r="D34" t="s">
        <v>768</v>
      </c>
      <c r="E34" t="s">
        <v>1023</v>
      </c>
      <c r="F34" t="s">
        <v>1024</v>
      </c>
      <c r="G34" t="s">
        <v>1025</v>
      </c>
      <c r="H34" t="s">
        <v>1026</v>
      </c>
      <c r="I34" t="s">
        <v>1027</v>
      </c>
      <c r="J34" t="s">
        <v>1028</v>
      </c>
      <c r="K34" t="s">
        <v>1029</v>
      </c>
    </row>
    <row r="35" spans="1:11" x14ac:dyDescent="0.2">
      <c r="A35" t="s">
        <v>1030</v>
      </c>
      <c r="B35" t="s">
        <v>1031</v>
      </c>
      <c r="C35" t="s">
        <v>1032</v>
      </c>
      <c r="D35" t="s">
        <v>838</v>
      </c>
      <c r="E35" t="s">
        <v>1033</v>
      </c>
      <c r="F35" t="s">
        <v>1034</v>
      </c>
      <c r="G35" t="s">
        <v>1035</v>
      </c>
      <c r="H35" t="s">
        <v>1036</v>
      </c>
      <c r="I35" t="s">
        <v>885</v>
      </c>
      <c r="J35" t="s">
        <v>1037</v>
      </c>
      <c r="K35" t="s">
        <v>1038</v>
      </c>
    </row>
    <row r="36" spans="1:11" x14ac:dyDescent="0.2">
      <c r="A36" t="s">
        <v>1039</v>
      </c>
      <c r="B36" t="s">
        <v>1040</v>
      </c>
      <c r="C36" t="s">
        <v>1041</v>
      </c>
      <c r="D36" t="s">
        <v>758</v>
      </c>
      <c r="E36" t="s">
        <v>1042</v>
      </c>
      <c r="F36" t="s">
        <v>1043</v>
      </c>
      <c r="G36" t="s">
        <v>1044</v>
      </c>
      <c r="H36" t="s">
        <v>1045</v>
      </c>
      <c r="I36" t="s">
        <v>1027</v>
      </c>
      <c r="J36" t="s">
        <v>1046</v>
      </c>
      <c r="K36" t="s">
        <v>1047</v>
      </c>
    </row>
    <row r="37" spans="1:11" x14ac:dyDescent="0.2">
      <c r="A37" t="s">
        <v>1048</v>
      </c>
      <c r="B37" t="s">
        <v>1049</v>
      </c>
      <c r="C37" t="s">
        <v>1050</v>
      </c>
      <c r="D37" t="s">
        <v>758</v>
      </c>
      <c r="E37" t="s">
        <v>1051</v>
      </c>
      <c r="F37" t="s">
        <v>1052</v>
      </c>
      <c r="G37" t="s">
        <v>1016</v>
      </c>
      <c r="H37" t="s">
        <v>1053</v>
      </c>
      <c r="I37" t="s">
        <v>1018</v>
      </c>
      <c r="J37" t="s">
        <v>1054</v>
      </c>
      <c r="K37" t="s">
        <v>1055</v>
      </c>
    </row>
    <row r="38" spans="1:11" x14ac:dyDescent="0.2">
      <c r="A38" t="s">
        <v>1056</v>
      </c>
      <c r="B38" t="s">
        <v>1057</v>
      </c>
      <c r="C38" t="s">
        <v>1058</v>
      </c>
      <c r="D38" t="s">
        <v>880</v>
      </c>
      <c r="E38" t="s">
        <v>1059</v>
      </c>
      <c r="F38" t="s">
        <v>1060</v>
      </c>
      <c r="G38" t="s">
        <v>1061</v>
      </c>
      <c r="I38" t="s">
        <v>1062</v>
      </c>
      <c r="J38" t="s">
        <v>1063</v>
      </c>
      <c r="K38" t="s">
        <v>1064</v>
      </c>
    </row>
    <row r="39" spans="1:11" x14ac:dyDescent="0.2">
      <c r="A39" t="s">
        <v>1065</v>
      </c>
      <c r="B39" t="s">
        <v>1066</v>
      </c>
      <c r="C39" t="s">
        <v>1067</v>
      </c>
      <c r="D39" t="s">
        <v>811</v>
      </c>
      <c r="E39" t="s">
        <v>1068</v>
      </c>
      <c r="F39" t="s">
        <v>1069</v>
      </c>
      <c r="G39" t="s">
        <v>1070</v>
      </c>
      <c r="H39" t="s">
        <v>1071</v>
      </c>
      <c r="I39" t="s">
        <v>787</v>
      </c>
      <c r="J39" t="s">
        <v>1072</v>
      </c>
    </row>
    <row r="40" spans="1:11" x14ac:dyDescent="0.2">
      <c r="A40" t="s">
        <v>1073</v>
      </c>
      <c r="B40" t="s">
        <v>1074</v>
      </c>
      <c r="C40" t="s">
        <v>1075</v>
      </c>
      <c r="D40" t="s">
        <v>880</v>
      </c>
      <c r="E40" t="s">
        <v>1076</v>
      </c>
      <c r="F40" t="s">
        <v>1077</v>
      </c>
      <c r="H40" t="s">
        <v>1078</v>
      </c>
      <c r="I40" t="s">
        <v>762</v>
      </c>
      <c r="J40" t="s">
        <v>1079</v>
      </c>
    </row>
    <row r="41" spans="1:11" x14ac:dyDescent="0.2">
      <c r="A41" t="s">
        <v>1080</v>
      </c>
      <c r="B41" t="s">
        <v>1081</v>
      </c>
      <c r="C41" t="s">
        <v>1082</v>
      </c>
      <c r="D41" t="s">
        <v>758</v>
      </c>
      <c r="E41" t="s">
        <v>1083</v>
      </c>
      <c r="F41" t="s">
        <v>1084</v>
      </c>
      <c r="H41" t="s">
        <v>1085</v>
      </c>
      <c r="I41" t="s">
        <v>815</v>
      </c>
      <c r="J41" t="s">
        <v>1086</v>
      </c>
      <c r="K41" t="s">
        <v>1087</v>
      </c>
    </row>
    <row r="42" spans="1:11" x14ac:dyDescent="0.2">
      <c r="A42" t="s">
        <v>1088</v>
      </c>
      <c r="B42" t="s">
        <v>1089</v>
      </c>
      <c r="C42" t="s">
        <v>1090</v>
      </c>
      <c r="D42" t="s">
        <v>920</v>
      </c>
      <c r="E42" t="s">
        <v>1091</v>
      </c>
      <c r="F42" t="s">
        <v>1092</v>
      </c>
      <c r="H42" t="s">
        <v>1093</v>
      </c>
      <c r="I42" t="s">
        <v>815</v>
      </c>
      <c r="J42" t="s">
        <v>1094</v>
      </c>
      <c r="K42" t="s">
        <v>1095</v>
      </c>
    </row>
    <row r="43" spans="1:11" x14ac:dyDescent="0.2">
      <c r="A43" t="s">
        <v>1096</v>
      </c>
      <c r="B43" t="s">
        <v>1097</v>
      </c>
      <c r="C43" t="s">
        <v>1098</v>
      </c>
      <c r="D43" t="s">
        <v>930</v>
      </c>
      <c r="E43" t="s">
        <v>1099</v>
      </c>
      <c r="F43" t="s">
        <v>1100</v>
      </c>
      <c r="G43" t="s">
        <v>841</v>
      </c>
      <c r="H43" t="s">
        <v>1101</v>
      </c>
      <c r="I43" t="s">
        <v>843</v>
      </c>
      <c r="J43" t="s">
        <v>1102</v>
      </c>
      <c r="K43" t="s">
        <v>1103</v>
      </c>
    </row>
    <row r="44" spans="1:11" x14ac:dyDescent="0.2">
      <c r="A44" t="s">
        <v>1104</v>
      </c>
      <c r="B44" t="s">
        <v>1105</v>
      </c>
      <c r="C44" t="s">
        <v>1106</v>
      </c>
      <c r="D44" t="s">
        <v>811</v>
      </c>
      <c r="E44" t="s">
        <v>1107</v>
      </c>
      <c r="F44" t="s">
        <v>1108</v>
      </c>
      <c r="G44" t="s">
        <v>1109</v>
      </c>
      <c r="H44" t="s">
        <v>1110</v>
      </c>
      <c r="I44" t="s">
        <v>1018</v>
      </c>
      <c r="J44" t="s">
        <v>1111</v>
      </c>
      <c r="K44" t="s">
        <v>1112</v>
      </c>
    </row>
    <row r="45" spans="1:11" x14ac:dyDescent="0.2">
      <c r="A45" t="s">
        <v>1113</v>
      </c>
      <c r="B45" t="s">
        <v>1114</v>
      </c>
      <c r="C45" t="s">
        <v>1115</v>
      </c>
      <c r="D45" t="s">
        <v>758</v>
      </c>
      <c r="E45" t="s">
        <v>1116</v>
      </c>
      <c r="F45" t="s">
        <v>1117</v>
      </c>
      <c r="H45" t="s">
        <v>1118</v>
      </c>
      <c r="I45" t="s">
        <v>762</v>
      </c>
      <c r="J45" t="s">
        <v>1119</v>
      </c>
      <c r="K45" t="s">
        <v>1120</v>
      </c>
    </row>
    <row r="46" spans="1:11" x14ac:dyDescent="0.2">
      <c r="A46" t="s">
        <v>1121</v>
      </c>
      <c r="B46" t="s">
        <v>1122</v>
      </c>
      <c r="C46" t="s">
        <v>1123</v>
      </c>
      <c r="D46" t="s">
        <v>768</v>
      </c>
      <c r="E46" t="s">
        <v>1124</v>
      </c>
      <c r="F46" t="s">
        <v>1125</v>
      </c>
      <c r="G46" t="s">
        <v>1126</v>
      </c>
      <c r="H46" t="s">
        <v>1127</v>
      </c>
      <c r="I46" t="s">
        <v>1018</v>
      </c>
      <c r="J46" t="s">
        <v>1128</v>
      </c>
    </row>
    <row r="47" spans="1:11" x14ac:dyDescent="0.2">
      <c r="A47" t="s">
        <v>1129</v>
      </c>
      <c r="B47" t="s">
        <v>1130</v>
      </c>
      <c r="C47" t="s">
        <v>1131</v>
      </c>
      <c r="D47" t="s">
        <v>838</v>
      </c>
      <c r="E47" t="s">
        <v>1132</v>
      </c>
      <c r="F47" t="s">
        <v>1133</v>
      </c>
      <c r="G47" t="s">
        <v>1134</v>
      </c>
      <c r="H47" t="s">
        <v>1135</v>
      </c>
      <c r="I47" t="s">
        <v>1027</v>
      </c>
      <c r="J47" t="s">
        <v>1136</v>
      </c>
      <c r="K47" t="s">
        <v>1137</v>
      </c>
    </row>
    <row r="48" spans="1:11" x14ac:dyDescent="0.2">
      <c r="A48" t="s">
        <v>1138</v>
      </c>
      <c r="B48" t="s">
        <v>1139</v>
      </c>
      <c r="C48" t="s">
        <v>1140</v>
      </c>
      <c r="D48" t="s">
        <v>768</v>
      </c>
      <c r="E48" t="s">
        <v>1141</v>
      </c>
      <c r="F48" t="s">
        <v>1142</v>
      </c>
      <c r="G48" t="s">
        <v>1143</v>
      </c>
      <c r="H48" t="s">
        <v>1144</v>
      </c>
      <c r="I48" t="s">
        <v>1027</v>
      </c>
      <c r="J48" t="s">
        <v>1145</v>
      </c>
      <c r="K48" t="s">
        <v>1146</v>
      </c>
    </row>
    <row r="49" spans="1:11" x14ac:dyDescent="0.2">
      <c r="A49" t="s">
        <v>1147</v>
      </c>
      <c r="B49" t="s">
        <v>1148</v>
      </c>
      <c r="C49" t="s">
        <v>1149</v>
      </c>
      <c r="D49" t="s">
        <v>920</v>
      </c>
      <c r="E49" t="s">
        <v>1150</v>
      </c>
      <c r="F49" t="s">
        <v>1151</v>
      </c>
      <c r="G49" t="s">
        <v>1016</v>
      </c>
      <c r="H49" t="s">
        <v>1152</v>
      </c>
      <c r="I49" t="s">
        <v>1018</v>
      </c>
      <c r="J49" t="s">
        <v>1153</v>
      </c>
      <c r="K49" t="s">
        <v>1154</v>
      </c>
    </row>
    <row r="50" spans="1:11" x14ac:dyDescent="0.2">
      <c r="A50" t="s">
        <v>1155</v>
      </c>
      <c r="B50" t="s">
        <v>1156</v>
      </c>
      <c r="C50" t="s">
        <v>1157</v>
      </c>
      <c r="D50" t="s">
        <v>811</v>
      </c>
      <c r="E50" t="s">
        <v>1158</v>
      </c>
      <c r="F50" t="s">
        <v>1159</v>
      </c>
      <c r="H50" t="s">
        <v>1160</v>
      </c>
      <c r="I50" t="s">
        <v>977</v>
      </c>
      <c r="J50" t="s">
        <v>1161</v>
      </c>
      <c r="K50" t="s">
        <v>1162</v>
      </c>
    </row>
    <row r="51" spans="1:11" x14ac:dyDescent="0.2">
      <c r="A51" t="s">
        <v>1163</v>
      </c>
      <c r="B51" t="s">
        <v>1164</v>
      </c>
      <c r="C51" t="s">
        <v>1165</v>
      </c>
      <c r="D51" t="s">
        <v>855</v>
      </c>
      <c r="E51" t="s">
        <v>1166</v>
      </c>
      <c r="F51" t="s">
        <v>1167</v>
      </c>
      <c r="H51" t="s">
        <v>1168</v>
      </c>
      <c r="I51" t="s">
        <v>1169</v>
      </c>
      <c r="J51" t="s">
        <v>1170</v>
      </c>
      <c r="K51" t="s">
        <v>1171</v>
      </c>
    </row>
    <row r="52" spans="1:11" x14ac:dyDescent="0.2">
      <c r="A52" t="s">
        <v>1172</v>
      </c>
      <c r="B52" t="s">
        <v>1173</v>
      </c>
      <c r="C52" t="s">
        <v>1174</v>
      </c>
      <c r="D52" t="s">
        <v>930</v>
      </c>
      <c r="E52" t="s">
        <v>1175</v>
      </c>
      <c r="F52" t="s">
        <v>1176</v>
      </c>
      <c r="G52" t="s">
        <v>1177</v>
      </c>
      <c r="H52" t="s">
        <v>1178</v>
      </c>
      <c r="I52" t="s">
        <v>843</v>
      </c>
      <c r="J52" t="s">
        <v>1179</v>
      </c>
      <c r="K52" t="s">
        <v>1180</v>
      </c>
    </row>
    <row r="53" spans="1:11" x14ac:dyDescent="0.2">
      <c r="A53" t="s">
        <v>1181</v>
      </c>
      <c r="B53" t="s">
        <v>1182</v>
      </c>
      <c r="C53" t="s">
        <v>1183</v>
      </c>
      <c r="D53" t="s">
        <v>930</v>
      </c>
      <c r="E53" t="s">
        <v>1184</v>
      </c>
      <c r="F53" t="s">
        <v>1185</v>
      </c>
      <c r="H53" t="s">
        <v>1186</v>
      </c>
      <c r="I53" t="s">
        <v>762</v>
      </c>
      <c r="J53" t="s">
        <v>1187</v>
      </c>
    </row>
    <row r="54" spans="1:11" x14ac:dyDescent="0.2">
      <c r="A54" t="s">
        <v>1188</v>
      </c>
      <c r="B54" t="s">
        <v>1189</v>
      </c>
      <c r="C54" t="s">
        <v>1190</v>
      </c>
      <c r="D54" t="s">
        <v>880</v>
      </c>
      <c r="E54" t="s">
        <v>1191</v>
      </c>
      <c r="F54" t="s">
        <v>785</v>
      </c>
      <c r="H54" t="s">
        <v>1192</v>
      </c>
      <c r="I54" t="s">
        <v>787</v>
      </c>
      <c r="J54" t="s">
        <v>1193</v>
      </c>
      <c r="K54" t="s">
        <v>1194</v>
      </c>
    </row>
    <row r="55" spans="1:11" x14ac:dyDescent="0.2">
      <c r="A55" t="s">
        <v>1195</v>
      </c>
      <c r="B55" t="s">
        <v>1196</v>
      </c>
      <c r="C55" t="s">
        <v>1197</v>
      </c>
      <c r="D55" t="s">
        <v>855</v>
      </c>
      <c r="E55" t="s">
        <v>1198</v>
      </c>
      <c r="F55" t="s">
        <v>857</v>
      </c>
      <c r="H55" t="s">
        <v>858</v>
      </c>
      <c r="I55" t="s">
        <v>859</v>
      </c>
      <c r="J55" t="s">
        <v>1199</v>
      </c>
      <c r="K55" t="s">
        <v>1200</v>
      </c>
    </row>
    <row r="56" spans="1:11" x14ac:dyDescent="0.2">
      <c r="A56" t="s">
        <v>1201</v>
      </c>
      <c r="B56" t="s">
        <v>1202</v>
      </c>
      <c r="C56" t="s">
        <v>1203</v>
      </c>
      <c r="D56" t="s">
        <v>758</v>
      </c>
      <c r="E56" t="s">
        <v>1204</v>
      </c>
      <c r="F56" t="s">
        <v>1205</v>
      </c>
      <c r="G56" t="s">
        <v>1206</v>
      </c>
      <c r="H56" t="s">
        <v>1207</v>
      </c>
      <c r="I56" t="s">
        <v>1018</v>
      </c>
      <c r="J56" t="s">
        <v>1208</v>
      </c>
      <c r="K56" t="s">
        <v>1209</v>
      </c>
    </row>
    <row r="57" spans="1:11" x14ac:dyDescent="0.2">
      <c r="A57" t="s">
        <v>1210</v>
      </c>
      <c r="B57" t="s">
        <v>1211</v>
      </c>
      <c r="C57" t="s">
        <v>1212</v>
      </c>
      <c r="D57" t="s">
        <v>768</v>
      </c>
      <c r="E57" t="s">
        <v>1213</v>
      </c>
      <c r="F57" t="s">
        <v>1214</v>
      </c>
      <c r="H57" t="s">
        <v>1215</v>
      </c>
      <c r="I57" t="s">
        <v>762</v>
      </c>
      <c r="J57" t="s">
        <v>1216</v>
      </c>
      <c r="K57" t="s">
        <v>1217</v>
      </c>
    </row>
    <row r="58" spans="1:11" x14ac:dyDescent="0.2">
      <c r="A58" t="s">
        <v>1218</v>
      </c>
      <c r="B58" t="s">
        <v>1219</v>
      </c>
      <c r="C58" t="s">
        <v>1220</v>
      </c>
      <c r="D58" t="s">
        <v>768</v>
      </c>
      <c r="E58" t="s">
        <v>1221</v>
      </c>
      <c r="F58" t="s">
        <v>1222</v>
      </c>
      <c r="H58" t="s">
        <v>1223</v>
      </c>
      <c r="I58" t="s">
        <v>815</v>
      </c>
      <c r="J58" t="s">
        <v>1224</v>
      </c>
      <c r="K58" t="s">
        <v>1225</v>
      </c>
    </row>
    <row r="59" spans="1:11" x14ac:dyDescent="0.2">
      <c r="A59" t="s">
        <v>1226</v>
      </c>
      <c r="B59" t="s">
        <v>1227</v>
      </c>
      <c r="C59" t="s">
        <v>1228</v>
      </c>
      <c r="D59" t="s">
        <v>758</v>
      </c>
      <c r="E59" t="s">
        <v>1229</v>
      </c>
      <c r="F59" t="s">
        <v>770</v>
      </c>
      <c r="H59" t="s">
        <v>1230</v>
      </c>
      <c r="I59" t="s">
        <v>772</v>
      </c>
      <c r="J59" t="s">
        <v>1231</v>
      </c>
      <c r="K59" t="s">
        <v>1232</v>
      </c>
    </row>
    <row r="60" spans="1:11" x14ac:dyDescent="0.2">
      <c r="A60" t="s">
        <v>1233</v>
      </c>
      <c r="B60" t="s">
        <v>1234</v>
      </c>
      <c r="C60" t="s">
        <v>1235</v>
      </c>
      <c r="D60" t="s">
        <v>920</v>
      </c>
      <c r="E60" t="s">
        <v>1236</v>
      </c>
      <c r="F60" t="s">
        <v>1237</v>
      </c>
      <c r="H60" t="s">
        <v>1238</v>
      </c>
      <c r="I60" t="s">
        <v>924</v>
      </c>
      <c r="J60" t="s">
        <v>1239</v>
      </c>
      <c r="K60" t="s">
        <v>1240</v>
      </c>
    </row>
    <row r="61" spans="1:11" x14ac:dyDescent="0.2">
      <c r="A61" t="s">
        <v>1241</v>
      </c>
      <c r="B61" t="s">
        <v>1242</v>
      </c>
      <c r="C61" t="s">
        <v>1243</v>
      </c>
      <c r="D61" t="s">
        <v>758</v>
      </c>
      <c r="E61" t="s">
        <v>1244</v>
      </c>
      <c r="F61" t="s">
        <v>984</v>
      </c>
      <c r="H61" t="s">
        <v>1245</v>
      </c>
      <c r="I61" t="s">
        <v>986</v>
      </c>
      <c r="J61" t="s">
        <v>1246</v>
      </c>
    </row>
    <row r="62" spans="1:11" x14ac:dyDescent="0.2">
      <c r="A62" t="s">
        <v>1247</v>
      </c>
      <c r="B62" t="s">
        <v>1248</v>
      </c>
      <c r="C62" t="s">
        <v>1249</v>
      </c>
      <c r="D62" t="s">
        <v>838</v>
      </c>
      <c r="E62" t="s">
        <v>1250</v>
      </c>
      <c r="F62" t="s">
        <v>1034</v>
      </c>
      <c r="G62" t="s">
        <v>1035</v>
      </c>
      <c r="H62" t="s">
        <v>1251</v>
      </c>
      <c r="I62" t="s">
        <v>885</v>
      </c>
      <c r="J62" t="s">
        <v>1252</v>
      </c>
      <c r="K62" t="s">
        <v>1253</v>
      </c>
    </row>
    <row r="63" spans="1:11" x14ac:dyDescent="0.2">
      <c r="A63" t="s">
        <v>1254</v>
      </c>
      <c r="B63" t="s">
        <v>1255</v>
      </c>
      <c r="C63" t="s">
        <v>1256</v>
      </c>
      <c r="D63" t="s">
        <v>930</v>
      </c>
      <c r="E63" t="s">
        <v>1257</v>
      </c>
      <c r="F63" t="s">
        <v>882</v>
      </c>
      <c r="G63" t="s">
        <v>883</v>
      </c>
      <c r="H63" t="s">
        <v>1258</v>
      </c>
      <c r="I63" t="s">
        <v>885</v>
      </c>
      <c r="J63" t="s">
        <v>1259</v>
      </c>
    </row>
    <row r="64" spans="1:11" x14ac:dyDescent="0.2">
      <c r="A64" t="s">
        <v>1260</v>
      </c>
      <c r="B64" t="s">
        <v>1261</v>
      </c>
      <c r="C64" t="s">
        <v>1262</v>
      </c>
      <c r="D64" t="s">
        <v>838</v>
      </c>
      <c r="E64" t="s">
        <v>1263</v>
      </c>
      <c r="F64" t="s">
        <v>1264</v>
      </c>
      <c r="H64" t="s">
        <v>1265</v>
      </c>
      <c r="I64" t="s">
        <v>762</v>
      </c>
      <c r="J64" t="s">
        <v>1266</v>
      </c>
    </row>
    <row r="65" spans="1:11" x14ac:dyDescent="0.2">
      <c r="A65" t="s">
        <v>1267</v>
      </c>
      <c r="B65" t="s">
        <v>1268</v>
      </c>
      <c r="C65" t="s">
        <v>1269</v>
      </c>
      <c r="D65" t="s">
        <v>758</v>
      </c>
      <c r="E65" t="s">
        <v>1270</v>
      </c>
      <c r="F65" t="s">
        <v>857</v>
      </c>
      <c r="H65" t="s">
        <v>858</v>
      </c>
      <c r="I65" t="s">
        <v>859</v>
      </c>
      <c r="J65" t="s">
        <v>1271</v>
      </c>
      <c r="K65" t="s">
        <v>1272</v>
      </c>
    </row>
    <row r="66" spans="1:11" x14ac:dyDescent="0.2">
      <c r="A66" t="s">
        <v>1273</v>
      </c>
      <c r="B66" t="s">
        <v>1274</v>
      </c>
      <c r="C66" t="s">
        <v>1275</v>
      </c>
      <c r="D66" t="s">
        <v>1276</v>
      </c>
      <c r="E66" t="s">
        <v>1277</v>
      </c>
      <c r="F66" t="s">
        <v>1278</v>
      </c>
      <c r="G66" t="s">
        <v>1279</v>
      </c>
      <c r="H66" t="s">
        <v>1280</v>
      </c>
      <c r="I66" t="s">
        <v>1018</v>
      </c>
      <c r="J66" t="s">
        <v>1281</v>
      </c>
      <c r="K66" t="s">
        <v>1282</v>
      </c>
    </row>
    <row r="67" spans="1:11" x14ac:dyDescent="0.2">
      <c r="A67" t="s">
        <v>1283</v>
      </c>
      <c r="B67" t="s">
        <v>1284</v>
      </c>
      <c r="C67" t="s">
        <v>1285</v>
      </c>
      <c r="D67" t="s">
        <v>880</v>
      </c>
      <c r="E67" t="s">
        <v>1286</v>
      </c>
      <c r="F67" t="s">
        <v>1287</v>
      </c>
      <c r="H67" t="s">
        <v>1288</v>
      </c>
      <c r="I67" t="s">
        <v>977</v>
      </c>
      <c r="J67" t="s">
        <v>1289</v>
      </c>
      <c r="K67" t="s">
        <v>1290</v>
      </c>
    </row>
    <row r="68" spans="1:11" x14ac:dyDescent="0.2">
      <c r="A68" t="s">
        <v>1291</v>
      </c>
      <c r="B68" t="s">
        <v>1292</v>
      </c>
      <c r="C68" t="s">
        <v>1293</v>
      </c>
      <c r="D68" t="s">
        <v>944</v>
      </c>
      <c r="E68" t="s">
        <v>1294</v>
      </c>
      <c r="F68" t="s">
        <v>1034</v>
      </c>
      <c r="G68" t="s">
        <v>1035</v>
      </c>
      <c r="H68" t="s">
        <v>1295</v>
      </c>
      <c r="I68" t="s">
        <v>885</v>
      </c>
      <c r="J68" t="s">
        <v>1296</v>
      </c>
    </row>
    <row r="69" spans="1:11" x14ac:dyDescent="0.2">
      <c r="A69" t="s">
        <v>1297</v>
      </c>
      <c r="B69" t="s">
        <v>1298</v>
      </c>
      <c r="C69" t="s">
        <v>1299</v>
      </c>
      <c r="D69" t="s">
        <v>920</v>
      </c>
      <c r="E69" t="s">
        <v>1300</v>
      </c>
      <c r="F69" t="s">
        <v>1301</v>
      </c>
      <c r="H69" t="s">
        <v>1302</v>
      </c>
      <c r="I69" t="s">
        <v>875</v>
      </c>
      <c r="J69" t="s">
        <v>1303</v>
      </c>
    </row>
    <row r="70" spans="1:11" x14ac:dyDescent="0.2">
      <c r="A70" t="s">
        <v>1304</v>
      </c>
      <c r="B70" t="s">
        <v>1305</v>
      </c>
      <c r="C70" t="s">
        <v>1306</v>
      </c>
      <c r="D70" t="s">
        <v>838</v>
      </c>
      <c r="E70" t="s">
        <v>1307</v>
      </c>
      <c r="F70" t="s">
        <v>822</v>
      </c>
      <c r="H70" t="s">
        <v>1308</v>
      </c>
      <c r="I70" t="s">
        <v>824</v>
      </c>
      <c r="J70" t="s">
        <v>1309</v>
      </c>
      <c r="K70" t="s">
        <v>1310</v>
      </c>
    </row>
    <row r="71" spans="1:11" x14ac:dyDescent="0.2">
      <c r="A71" t="s">
        <v>1311</v>
      </c>
      <c r="B71" t="s">
        <v>1312</v>
      </c>
      <c r="C71" t="s">
        <v>1313</v>
      </c>
      <c r="D71" t="s">
        <v>768</v>
      </c>
      <c r="E71" t="s">
        <v>1314</v>
      </c>
      <c r="F71" t="s">
        <v>1315</v>
      </c>
      <c r="H71" t="s">
        <v>1316</v>
      </c>
      <c r="I71" t="s">
        <v>1317</v>
      </c>
      <c r="J71" t="s">
        <v>1318</v>
      </c>
      <c r="K71" t="s">
        <v>1319</v>
      </c>
    </row>
    <row r="72" spans="1:11" x14ac:dyDescent="0.2">
      <c r="A72" t="s">
        <v>1320</v>
      </c>
      <c r="B72" t="s">
        <v>1321</v>
      </c>
      <c r="C72" t="s">
        <v>1322</v>
      </c>
      <c r="D72" t="s">
        <v>758</v>
      </c>
      <c r="E72" t="s">
        <v>1323</v>
      </c>
      <c r="F72" t="s">
        <v>1324</v>
      </c>
      <c r="G72" t="s">
        <v>1325</v>
      </c>
      <c r="H72" t="s">
        <v>1326</v>
      </c>
      <c r="I72" t="s">
        <v>1018</v>
      </c>
      <c r="J72" t="s">
        <v>1327</v>
      </c>
    </row>
    <row r="73" spans="1:11" x14ac:dyDescent="0.2">
      <c r="A73" t="s">
        <v>1328</v>
      </c>
      <c r="B73" t="s">
        <v>1329</v>
      </c>
      <c r="C73" t="s">
        <v>1330</v>
      </c>
      <c r="D73" t="s">
        <v>920</v>
      </c>
      <c r="E73" t="s">
        <v>1331</v>
      </c>
      <c r="F73" t="s">
        <v>785</v>
      </c>
      <c r="H73" t="s">
        <v>1332</v>
      </c>
      <c r="I73" t="s">
        <v>787</v>
      </c>
      <c r="J73" t="s">
        <v>1333</v>
      </c>
      <c r="K73" t="s">
        <v>1334</v>
      </c>
    </row>
    <row r="74" spans="1:11" x14ac:dyDescent="0.2">
      <c r="A74" t="s">
        <v>1335</v>
      </c>
      <c r="B74" t="s">
        <v>1336</v>
      </c>
      <c r="C74" t="s">
        <v>1337</v>
      </c>
      <c r="D74" t="s">
        <v>768</v>
      </c>
      <c r="E74" t="s">
        <v>1338</v>
      </c>
      <c r="F74" t="s">
        <v>1339</v>
      </c>
      <c r="H74" t="s">
        <v>1340</v>
      </c>
      <c r="I74" t="s">
        <v>1341</v>
      </c>
      <c r="J74" t="s">
        <v>1342</v>
      </c>
      <c r="K74" t="s">
        <v>1343</v>
      </c>
    </row>
    <row r="75" spans="1:11" x14ac:dyDescent="0.2">
      <c r="A75" t="s">
        <v>1344</v>
      </c>
      <c r="B75" t="s">
        <v>1345</v>
      </c>
      <c r="C75" t="s">
        <v>1346</v>
      </c>
      <c r="D75" t="s">
        <v>811</v>
      </c>
      <c r="E75" t="s">
        <v>1347</v>
      </c>
      <c r="F75" t="s">
        <v>1222</v>
      </c>
      <c r="H75" t="s">
        <v>1348</v>
      </c>
      <c r="I75" t="s">
        <v>815</v>
      </c>
      <c r="J75" t="s">
        <v>1349</v>
      </c>
      <c r="K75" t="s">
        <v>1350</v>
      </c>
    </row>
    <row r="76" spans="1:11" x14ac:dyDescent="0.2">
      <c r="A76" t="s">
        <v>1351</v>
      </c>
      <c r="B76" t="s">
        <v>1352</v>
      </c>
      <c r="C76" t="s">
        <v>1353</v>
      </c>
      <c r="D76" t="s">
        <v>920</v>
      </c>
      <c r="E76" t="s">
        <v>1354</v>
      </c>
      <c r="F76" t="s">
        <v>1355</v>
      </c>
      <c r="G76" t="s">
        <v>1356</v>
      </c>
      <c r="H76" t="s">
        <v>1357</v>
      </c>
      <c r="I76" t="s">
        <v>1018</v>
      </c>
      <c r="J76" t="s">
        <v>1358</v>
      </c>
      <c r="K76" t="s">
        <v>1359</v>
      </c>
    </row>
    <row r="77" spans="1:11" x14ac:dyDescent="0.2">
      <c r="A77" t="s">
        <v>1360</v>
      </c>
      <c r="B77" t="s">
        <v>1361</v>
      </c>
      <c r="C77" t="s">
        <v>1362</v>
      </c>
      <c r="D77" t="s">
        <v>838</v>
      </c>
      <c r="E77" t="s">
        <v>1363</v>
      </c>
      <c r="F77" t="s">
        <v>1364</v>
      </c>
      <c r="H77" t="s">
        <v>1365</v>
      </c>
      <c r="I77" t="s">
        <v>1169</v>
      </c>
      <c r="J77" t="s">
        <v>1366</v>
      </c>
      <c r="K77" t="s">
        <v>1367</v>
      </c>
    </row>
    <row r="78" spans="1:11" x14ac:dyDescent="0.2">
      <c r="A78" t="s">
        <v>1368</v>
      </c>
      <c r="B78" t="s">
        <v>1369</v>
      </c>
      <c r="C78" t="s">
        <v>1370</v>
      </c>
      <c r="D78" t="s">
        <v>811</v>
      </c>
      <c r="E78" t="s">
        <v>1371</v>
      </c>
      <c r="F78" t="s">
        <v>1151</v>
      </c>
      <c r="G78" t="s">
        <v>1016</v>
      </c>
      <c r="H78" t="s">
        <v>1372</v>
      </c>
      <c r="I78" t="s">
        <v>1018</v>
      </c>
      <c r="J78" t="s">
        <v>1373</v>
      </c>
    </row>
    <row r="79" spans="1:11" x14ac:dyDescent="0.2">
      <c r="A79" t="s">
        <v>1374</v>
      </c>
      <c r="B79" t="s">
        <v>1375</v>
      </c>
      <c r="C79" t="s">
        <v>1376</v>
      </c>
      <c r="D79" t="s">
        <v>930</v>
      </c>
      <c r="E79" t="s">
        <v>1377</v>
      </c>
      <c r="F79" t="s">
        <v>1378</v>
      </c>
      <c r="G79" t="s">
        <v>1379</v>
      </c>
      <c r="H79" t="s">
        <v>1380</v>
      </c>
      <c r="I79" t="s">
        <v>1018</v>
      </c>
      <c r="J79" t="s">
        <v>1381</v>
      </c>
      <c r="K79" t="s">
        <v>1382</v>
      </c>
    </row>
    <row r="80" spans="1:11" x14ac:dyDescent="0.2">
      <c r="A80" t="s">
        <v>1383</v>
      </c>
      <c r="B80" t="s">
        <v>1384</v>
      </c>
      <c r="C80" t="s">
        <v>1385</v>
      </c>
      <c r="D80" t="s">
        <v>811</v>
      </c>
      <c r="E80" t="s">
        <v>1386</v>
      </c>
      <c r="F80" t="s">
        <v>1387</v>
      </c>
      <c r="H80" t="s">
        <v>1388</v>
      </c>
      <c r="I80" t="s">
        <v>762</v>
      </c>
      <c r="J80" t="s">
        <v>1389</v>
      </c>
      <c r="K80" t="s">
        <v>1390</v>
      </c>
    </row>
    <row r="81" spans="1:11" x14ac:dyDescent="0.2">
      <c r="A81" t="s">
        <v>1391</v>
      </c>
      <c r="B81" t="s">
        <v>1392</v>
      </c>
      <c r="C81" t="s">
        <v>1393</v>
      </c>
      <c r="D81" t="s">
        <v>768</v>
      </c>
      <c r="E81" t="s">
        <v>1394</v>
      </c>
      <c r="F81" t="s">
        <v>770</v>
      </c>
      <c r="H81" t="s">
        <v>1230</v>
      </c>
      <c r="I81" t="s">
        <v>772</v>
      </c>
      <c r="J81" t="s">
        <v>1395</v>
      </c>
    </row>
    <row r="82" spans="1:11" x14ac:dyDescent="0.2">
      <c r="A82" t="s">
        <v>1396</v>
      </c>
      <c r="B82" t="s">
        <v>1397</v>
      </c>
      <c r="C82" t="s">
        <v>1398</v>
      </c>
      <c r="D82" t="s">
        <v>758</v>
      </c>
      <c r="E82" t="s">
        <v>1399</v>
      </c>
      <c r="F82" t="s">
        <v>882</v>
      </c>
      <c r="G82" t="s">
        <v>883</v>
      </c>
      <c r="H82" t="s">
        <v>1400</v>
      </c>
      <c r="I82" t="s">
        <v>885</v>
      </c>
      <c r="J82" t="s">
        <v>1401</v>
      </c>
      <c r="K82" t="s">
        <v>1402</v>
      </c>
    </row>
    <row r="83" spans="1:11" x14ac:dyDescent="0.2">
      <c r="A83" t="s">
        <v>1403</v>
      </c>
      <c r="B83" t="s">
        <v>1404</v>
      </c>
      <c r="C83" t="s">
        <v>1405</v>
      </c>
      <c r="D83" t="s">
        <v>880</v>
      </c>
      <c r="E83" t="s">
        <v>1406</v>
      </c>
      <c r="F83" t="s">
        <v>1407</v>
      </c>
      <c r="G83" t="s">
        <v>1109</v>
      </c>
      <c r="H83" t="s">
        <v>1408</v>
      </c>
      <c r="I83" t="s">
        <v>1018</v>
      </c>
      <c r="J83" t="s">
        <v>1409</v>
      </c>
      <c r="K83" t="s">
        <v>1410</v>
      </c>
    </row>
    <row r="84" spans="1:11" x14ac:dyDescent="0.2">
      <c r="A84" t="s">
        <v>1411</v>
      </c>
      <c r="B84" t="s">
        <v>1412</v>
      </c>
      <c r="C84" t="s">
        <v>1413</v>
      </c>
      <c r="D84" t="s">
        <v>920</v>
      </c>
      <c r="E84" t="s">
        <v>1414</v>
      </c>
      <c r="F84" t="s">
        <v>1415</v>
      </c>
      <c r="H84" t="s">
        <v>1416</v>
      </c>
      <c r="I84" t="s">
        <v>1341</v>
      </c>
      <c r="J84" t="s">
        <v>1417</v>
      </c>
      <c r="K84" t="s">
        <v>1418</v>
      </c>
    </row>
    <row r="85" spans="1:11" x14ac:dyDescent="0.2">
      <c r="A85" t="s">
        <v>1419</v>
      </c>
      <c r="B85" t="s">
        <v>1420</v>
      </c>
      <c r="C85" t="s">
        <v>1421</v>
      </c>
      <c r="D85" t="s">
        <v>855</v>
      </c>
      <c r="E85" t="s">
        <v>1422</v>
      </c>
      <c r="F85" t="s">
        <v>1423</v>
      </c>
      <c r="H85" t="s">
        <v>1424</v>
      </c>
      <c r="I85" t="s">
        <v>815</v>
      </c>
      <c r="J85" t="s">
        <v>1425</v>
      </c>
      <c r="K85" t="s">
        <v>1426</v>
      </c>
    </row>
    <row r="86" spans="1:11" x14ac:dyDescent="0.2">
      <c r="A86" t="s">
        <v>1427</v>
      </c>
      <c r="B86" t="s">
        <v>1428</v>
      </c>
      <c r="C86" t="s">
        <v>1429</v>
      </c>
      <c r="D86" t="s">
        <v>838</v>
      </c>
      <c r="E86" t="s">
        <v>1430</v>
      </c>
      <c r="F86" t="s">
        <v>1431</v>
      </c>
      <c r="H86" t="s">
        <v>1432</v>
      </c>
      <c r="I86" t="s">
        <v>815</v>
      </c>
      <c r="J86" t="s">
        <v>1433</v>
      </c>
      <c r="K86" t="s">
        <v>1434</v>
      </c>
    </row>
    <row r="87" spans="1:11" x14ac:dyDescent="0.2">
      <c r="A87" t="s">
        <v>1435</v>
      </c>
      <c r="B87" t="s">
        <v>1436</v>
      </c>
      <c r="C87" t="s">
        <v>1437</v>
      </c>
      <c r="D87" t="s">
        <v>758</v>
      </c>
      <c r="E87" t="s">
        <v>1438</v>
      </c>
      <c r="F87" t="s">
        <v>1439</v>
      </c>
      <c r="H87" t="s">
        <v>1440</v>
      </c>
      <c r="I87" t="s">
        <v>762</v>
      </c>
      <c r="J87" t="s">
        <v>1441</v>
      </c>
      <c r="K87" t="s">
        <v>1442</v>
      </c>
    </row>
    <row r="88" spans="1:11" x14ac:dyDescent="0.2">
      <c r="A88" t="s">
        <v>1443</v>
      </c>
      <c r="B88" t="s">
        <v>1444</v>
      </c>
      <c r="C88" t="s">
        <v>1445</v>
      </c>
      <c r="D88" t="s">
        <v>838</v>
      </c>
      <c r="E88" t="s">
        <v>1446</v>
      </c>
      <c r="F88" t="s">
        <v>1447</v>
      </c>
      <c r="H88" t="s">
        <v>1448</v>
      </c>
      <c r="I88" t="s">
        <v>1449</v>
      </c>
      <c r="J88" t="s">
        <v>1450</v>
      </c>
      <c r="K88" t="s">
        <v>1450</v>
      </c>
    </row>
    <row r="89" spans="1:11" x14ac:dyDescent="0.2">
      <c r="A89" t="s">
        <v>1451</v>
      </c>
      <c r="B89" t="s">
        <v>1452</v>
      </c>
      <c r="C89" t="s">
        <v>1453</v>
      </c>
      <c r="D89" t="s">
        <v>920</v>
      </c>
      <c r="E89" t="s">
        <v>1454</v>
      </c>
      <c r="F89" t="s">
        <v>1455</v>
      </c>
      <c r="G89" t="s">
        <v>883</v>
      </c>
      <c r="H89" t="s">
        <v>1456</v>
      </c>
      <c r="I89" t="s">
        <v>885</v>
      </c>
      <c r="J89" t="s">
        <v>1457</v>
      </c>
    </row>
    <row r="90" spans="1:11" x14ac:dyDescent="0.2">
      <c r="A90" t="s">
        <v>1458</v>
      </c>
      <c r="B90" t="s">
        <v>1459</v>
      </c>
      <c r="C90" t="s">
        <v>1460</v>
      </c>
      <c r="D90" t="s">
        <v>768</v>
      </c>
      <c r="E90" t="s">
        <v>1461</v>
      </c>
      <c r="F90" t="s">
        <v>1462</v>
      </c>
      <c r="G90" t="s">
        <v>1109</v>
      </c>
      <c r="H90" t="s">
        <v>1463</v>
      </c>
      <c r="I90" t="s">
        <v>1018</v>
      </c>
      <c r="J90" t="s">
        <v>1464</v>
      </c>
      <c r="K90" t="s">
        <v>1465</v>
      </c>
    </row>
    <row r="91" spans="1:11" x14ac:dyDescent="0.2">
      <c r="A91" t="s">
        <v>1466</v>
      </c>
      <c r="B91" t="s">
        <v>1467</v>
      </c>
      <c r="C91" t="s">
        <v>1468</v>
      </c>
      <c r="D91" t="s">
        <v>1469</v>
      </c>
      <c r="E91" t="s">
        <v>1470</v>
      </c>
      <c r="F91" t="s">
        <v>1471</v>
      </c>
      <c r="H91" t="s">
        <v>1472</v>
      </c>
      <c r="I91" t="s">
        <v>1449</v>
      </c>
      <c r="J91" t="s">
        <v>1473</v>
      </c>
      <c r="K91" t="s">
        <v>1473</v>
      </c>
    </row>
    <row r="92" spans="1:11" x14ac:dyDescent="0.2">
      <c r="A92" t="s">
        <v>1474</v>
      </c>
      <c r="B92" t="s">
        <v>1475</v>
      </c>
      <c r="C92" t="s">
        <v>1476</v>
      </c>
      <c r="D92" t="s">
        <v>768</v>
      </c>
      <c r="E92" t="s">
        <v>1477</v>
      </c>
      <c r="F92" t="s">
        <v>1478</v>
      </c>
      <c r="H92" t="s">
        <v>1479</v>
      </c>
      <c r="I92" t="s">
        <v>1480</v>
      </c>
      <c r="J92" t="s">
        <v>1481</v>
      </c>
      <c r="K92" t="s">
        <v>1481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BA162-F411-471F-9A58-382BCD8D1B6B}">
  <dimension ref="B3:D25"/>
  <sheetViews>
    <sheetView topLeftCell="A3" zoomScale="120" zoomScaleNormal="120" workbookViewId="0">
      <selection activeCell="D13" sqref="D13"/>
    </sheetView>
  </sheetViews>
  <sheetFormatPr defaultRowHeight="14.25" x14ac:dyDescent="0.2"/>
  <cols>
    <col min="2" max="2" width="13.85546875" bestFit="1" customWidth="1"/>
    <col min="3" max="3" width="18.140625" bestFit="1" customWidth="1"/>
    <col min="4" max="4" width="28.140625" style="78" bestFit="1" customWidth="1"/>
    <col min="5" max="5" width="28.140625" bestFit="1" customWidth="1"/>
  </cols>
  <sheetData>
    <row r="3" spans="2:4" x14ac:dyDescent="0.2">
      <c r="B3" s="76" t="s">
        <v>1508</v>
      </c>
      <c r="C3" t="s">
        <v>1511</v>
      </c>
      <c r="D3" s="78" t="s">
        <v>1510</v>
      </c>
    </row>
    <row r="4" spans="2:4" x14ac:dyDescent="0.2">
      <c r="B4" s="77" t="s">
        <v>859</v>
      </c>
      <c r="C4" s="79">
        <v>37.411250000000003</v>
      </c>
      <c r="D4" s="78">
        <v>1</v>
      </c>
    </row>
    <row r="5" spans="2:4" x14ac:dyDescent="0.2">
      <c r="B5" s="77" t="s">
        <v>924</v>
      </c>
      <c r="C5" s="79">
        <v>184.78749999999999</v>
      </c>
      <c r="D5" s="78">
        <v>-1</v>
      </c>
    </row>
    <row r="6" spans="2:4" x14ac:dyDescent="0.2">
      <c r="B6" s="77" t="s">
        <v>1169</v>
      </c>
      <c r="C6" s="79">
        <v>67.375789473684222</v>
      </c>
      <c r="D6" s="78">
        <v>0</v>
      </c>
    </row>
    <row r="7" spans="2:4" x14ac:dyDescent="0.2">
      <c r="B7" s="77" t="s">
        <v>885</v>
      </c>
      <c r="C7" s="79">
        <v>58.235714285714288</v>
      </c>
      <c r="D7" s="78">
        <v>1</v>
      </c>
    </row>
    <row r="8" spans="2:4" x14ac:dyDescent="0.2">
      <c r="B8" s="77" t="s">
        <v>843</v>
      </c>
      <c r="C8" s="79">
        <v>73.269666666666666</v>
      </c>
      <c r="D8" s="78">
        <v>0</v>
      </c>
    </row>
    <row r="9" spans="2:4" x14ac:dyDescent="0.2">
      <c r="B9" s="77" t="s">
        <v>1341</v>
      </c>
      <c r="C9" s="79">
        <v>77.566111111111113</v>
      </c>
      <c r="D9" s="78">
        <v>0</v>
      </c>
    </row>
    <row r="10" spans="2:4" x14ac:dyDescent="0.2">
      <c r="B10" s="77" t="s">
        <v>1449</v>
      </c>
      <c r="C10" s="79">
        <v>41.011739130434783</v>
      </c>
      <c r="D10" s="78">
        <v>1</v>
      </c>
    </row>
    <row r="11" spans="2:4" x14ac:dyDescent="0.2">
      <c r="B11" s="77" t="s">
        <v>815</v>
      </c>
      <c r="C11" s="79">
        <v>55.335000000000001</v>
      </c>
      <c r="D11" s="78">
        <v>1</v>
      </c>
    </row>
    <row r="12" spans="2:4" x14ac:dyDescent="0.2">
      <c r="B12" s="77" t="s">
        <v>762</v>
      </c>
      <c r="C12" s="79">
        <v>93.471500000000006</v>
      </c>
      <c r="D12" s="78">
        <v>-1</v>
      </c>
    </row>
    <row r="13" spans="2:4" x14ac:dyDescent="0.2">
      <c r="B13" s="77" t="s">
        <v>1062</v>
      </c>
      <c r="C13" s="79">
        <v>145.01263157894735</v>
      </c>
      <c r="D13" s="78">
        <v>-1</v>
      </c>
    </row>
    <row r="14" spans="2:4" x14ac:dyDescent="0.2">
      <c r="B14" s="77" t="s">
        <v>977</v>
      </c>
      <c r="C14" s="79">
        <v>30.872857142857146</v>
      </c>
      <c r="D14" s="78">
        <v>1</v>
      </c>
    </row>
    <row r="15" spans="2:4" x14ac:dyDescent="0.2">
      <c r="B15" s="77" t="s">
        <v>772</v>
      </c>
      <c r="C15" s="79">
        <v>40.099285714285713</v>
      </c>
      <c r="D15" s="78">
        <v>1</v>
      </c>
    </row>
    <row r="16" spans="2:4" x14ac:dyDescent="0.2">
      <c r="B16" s="77" t="s">
        <v>1317</v>
      </c>
      <c r="C16" s="79">
        <v>45.916666666666664</v>
      </c>
      <c r="D16" s="78">
        <v>1</v>
      </c>
    </row>
    <row r="17" spans="2:4" x14ac:dyDescent="0.2">
      <c r="B17" s="77" t="s">
        <v>1480</v>
      </c>
      <c r="C17" s="79">
        <v>25.105714285714289</v>
      </c>
      <c r="D17" s="78">
        <v>1</v>
      </c>
    </row>
    <row r="18" spans="2:4" x14ac:dyDescent="0.2">
      <c r="B18" s="77" t="s">
        <v>986</v>
      </c>
      <c r="C18" s="79">
        <v>49.218571428571423</v>
      </c>
      <c r="D18" s="78">
        <v>1</v>
      </c>
    </row>
    <row r="19" spans="2:4" x14ac:dyDescent="0.2">
      <c r="B19" s="77" t="s">
        <v>824</v>
      </c>
      <c r="C19" s="79">
        <v>37.473478260869562</v>
      </c>
      <c r="D19" s="78">
        <v>1</v>
      </c>
    </row>
    <row r="20" spans="2:4" x14ac:dyDescent="0.2">
      <c r="B20" s="77" t="s">
        <v>797</v>
      </c>
      <c r="C20" s="79">
        <v>87.502702702702706</v>
      </c>
      <c r="D20" s="78">
        <v>0</v>
      </c>
    </row>
    <row r="21" spans="2:4" x14ac:dyDescent="0.2">
      <c r="B21" s="77" t="s">
        <v>875</v>
      </c>
      <c r="C21" s="79">
        <v>76.029444444444437</v>
      </c>
      <c r="D21" s="78">
        <v>0</v>
      </c>
    </row>
    <row r="22" spans="2:4" x14ac:dyDescent="0.2">
      <c r="B22" s="77" t="s">
        <v>787</v>
      </c>
      <c r="C22" s="79">
        <v>52.754821428571425</v>
      </c>
      <c r="D22" s="78">
        <v>1</v>
      </c>
    </row>
    <row r="23" spans="2:4" x14ac:dyDescent="0.2">
      <c r="B23" s="77" t="s">
        <v>1018</v>
      </c>
      <c r="C23" s="79">
        <v>112.95778688524591</v>
      </c>
      <c r="D23" s="78">
        <v>-1</v>
      </c>
    </row>
    <row r="24" spans="2:4" x14ac:dyDescent="0.2">
      <c r="B24" s="77" t="s">
        <v>1027</v>
      </c>
      <c r="C24" s="79">
        <v>59.460434782608694</v>
      </c>
      <c r="D24" s="78">
        <v>1</v>
      </c>
    </row>
    <row r="25" spans="2:4" x14ac:dyDescent="0.2">
      <c r="B25" s="77" t="s">
        <v>1509</v>
      </c>
      <c r="C25" s="79">
        <v>78.244204819277115</v>
      </c>
      <c r="D25" s="78">
        <v>0</v>
      </c>
    </row>
  </sheetData>
  <conditionalFormatting pivot="1" sqref="D4:D25">
    <cfRule type="iconSet" priority="1">
      <iconSet showValue="0">
        <cfvo type="num" val="-1"/>
        <cfvo type="num" val="-0.5"/>
        <cfvo type="num" val="0.5"/>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N831"/>
  <sheetViews>
    <sheetView workbookViewId="0">
      <selection activeCell="E4" sqref="E4"/>
    </sheetView>
  </sheetViews>
  <sheetFormatPr defaultRowHeight="12.75" x14ac:dyDescent="0.2"/>
  <cols>
    <col min="1" max="1" width="10.28515625" bestFit="1" customWidth="1"/>
    <col min="2" max="2" width="13.7109375" bestFit="1" customWidth="1"/>
    <col min="3" max="3" width="14.140625" bestFit="1" customWidth="1"/>
    <col min="4" max="4" width="12.5703125" bestFit="1" customWidth="1"/>
    <col min="5" max="5" width="15.85546875" bestFit="1" customWidth="1"/>
    <col min="6" max="6" width="15" bestFit="1" customWidth="1"/>
    <col min="7" max="7" width="10.42578125" bestFit="1" customWidth="1"/>
    <col min="8" max="8" width="9.7109375" bestFit="1" customWidth="1"/>
    <col min="9" max="9" width="31.42578125" bestFit="1" customWidth="1"/>
    <col min="10" max="10" width="40.5703125" bestFit="1" customWidth="1"/>
    <col min="11" max="11" width="13.28515625" bestFit="1" customWidth="1"/>
    <col min="12" max="12" width="13.85546875" bestFit="1" customWidth="1"/>
    <col min="13" max="13" width="17.85546875" bestFit="1" customWidth="1"/>
    <col min="14" max="14" width="14.42578125" bestFit="1" customWidth="1"/>
  </cols>
  <sheetData>
    <row r="1" spans="1:14" x14ac:dyDescent="0.2">
      <c r="A1" t="s">
        <v>1482</v>
      </c>
      <c r="B1" t="s">
        <v>745</v>
      </c>
      <c r="C1" t="s">
        <v>1483</v>
      </c>
      <c r="D1" t="s">
        <v>1484</v>
      </c>
      <c r="E1" t="s">
        <v>1485</v>
      </c>
      <c r="F1" t="s">
        <v>1486</v>
      </c>
      <c r="G1" t="s">
        <v>1487</v>
      </c>
      <c r="H1" t="s">
        <v>1488</v>
      </c>
      <c r="I1" t="s">
        <v>1489</v>
      </c>
      <c r="J1" t="s">
        <v>1490</v>
      </c>
      <c r="K1" t="s">
        <v>1491</v>
      </c>
      <c r="L1" t="s">
        <v>1492</v>
      </c>
      <c r="M1" t="s">
        <v>1493</v>
      </c>
      <c r="N1" t="s">
        <v>1494</v>
      </c>
    </row>
    <row r="2" spans="1:14" x14ac:dyDescent="0.2">
      <c r="A2">
        <v>10643</v>
      </c>
      <c r="B2" t="s">
        <v>755</v>
      </c>
      <c r="C2">
        <v>6</v>
      </c>
      <c r="D2" s="19">
        <v>35667</v>
      </c>
      <c r="E2" s="19">
        <v>35695</v>
      </c>
      <c r="F2" s="19">
        <v>35675</v>
      </c>
      <c r="G2">
        <v>1</v>
      </c>
      <c r="H2">
        <v>29.46</v>
      </c>
      <c r="I2" t="s">
        <v>756</v>
      </c>
      <c r="J2" t="s">
        <v>759</v>
      </c>
      <c r="K2" t="s">
        <v>760</v>
      </c>
      <c r="M2" t="s">
        <v>761</v>
      </c>
      <c r="N2" t="s">
        <v>762</v>
      </c>
    </row>
    <row r="3" spans="1:14" x14ac:dyDescent="0.2">
      <c r="A3">
        <v>10692</v>
      </c>
      <c r="B3" t="s">
        <v>755</v>
      </c>
      <c r="C3">
        <v>4</v>
      </c>
      <c r="D3" s="19">
        <v>35706</v>
      </c>
      <c r="E3" s="19">
        <v>35734</v>
      </c>
      <c r="F3" s="19">
        <v>35716</v>
      </c>
      <c r="G3">
        <v>2</v>
      </c>
      <c r="H3">
        <v>61.02</v>
      </c>
      <c r="I3" t="s">
        <v>756</v>
      </c>
      <c r="J3" t="s">
        <v>759</v>
      </c>
      <c r="K3" t="s">
        <v>760</v>
      </c>
      <c r="M3" t="s">
        <v>761</v>
      </c>
      <c r="N3" t="s">
        <v>762</v>
      </c>
    </row>
    <row r="4" spans="1:14" x14ac:dyDescent="0.2">
      <c r="A4">
        <v>10702</v>
      </c>
      <c r="B4" t="s">
        <v>755</v>
      </c>
      <c r="C4">
        <v>4</v>
      </c>
      <c r="D4" s="19">
        <v>35716</v>
      </c>
      <c r="E4" s="19">
        <v>35758</v>
      </c>
      <c r="F4" s="19">
        <v>35724</v>
      </c>
      <c r="G4">
        <v>1</v>
      </c>
      <c r="H4">
        <v>23.94</v>
      </c>
      <c r="I4" t="s">
        <v>756</v>
      </c>
      <c r="J4" t="s">
        <v>759</v>
      </c>
      <c r="K4" t="s">
        <v>760</v>
      </c>
      <c r="M4" t="s">
        <v>761</v>
      </c>
      <c r="N4" t="s">
        <v>762</v>
      </c>
    </row>
    <row r="5" spans="1:14" x14ac:dyDescent="0.2">
      <c r="A5">
        <v>10835</v>
      </c>
      <c r="B5" t="s">
        <v>755</v>
      </c>
      <c r="C5">
        <v>1</v>
      </c>
      <c r="D5" s="19">
        <v>35810</v>
      </c>
      <c r="E5" s="19">
        <v>35838</v>
      </c>
      <c r="F5" s="19">
        <v>35816</v>
      </c>
      <c r="G5">
        <v>3</v>
      </c>
      <c r="H5">
        <v>69.53</v>
      </c>
      <c r="I5" t="s">
        <v>756</v>
      </c>
      <c r="J5" t="s">
        <v>759</v>
      </c>
      <c r="K5" t="s">
        <v>760</v>
      </c>
      <c r="M5" t="s">
        <v>761</v>
      </c>
      <c r="N5" t="s">
        <v>762</v>
      </c>
    </row>
    <row r="6" spans="1:14" x14ac:dyDescent="0.2">
      <c r="A6">
        <v>10952</v>
      </c>
      <c r="B6" t="s">
        <v>755</v>
      </c>
      <c r="C6">
        <v>1</v>
      </c>
      <c r="D6" s="19">
        <v>35870</v>
      </c>
      <c r="E6" s="19">
        <v>35912</v>
      </c>
      <c r="F6" s="19">
        <v>35878</v>
      </c>
      <c r="G6">
        <v>1</v>
      </c>
      <c r="H6">
        <v>40.42</v>
      </c>
      <c r="I6" t="s">
        <v>756</v>
      </c>
      <c r="J6" t="s">
        <v>759</v>
      </c>
      <c r="K6" t="s">
        <v>760</v>
      </c>
      <c r="M6" t="s">
        <v>761</v>
      </c>
      <c r="N6" t="s">
        <v>762</v>
      </c>
    </row>
    <row r="7" spans="1:14" x14ac:dyDescent="0.2">
      <c r="A7">
        <v>11011</v>
      </c>
      <c r="B7" t="s">
        <v>755</v>
      </c>
      <c r="C7">
        <v>3</v>
      </c>
      <c r="D7" s="19">
        <v>35894</v>
      </c>
      <c r="E7" s="19">
        <v>35922</v>
      </c>
      <c r="F7" s="19">
        <v>35898</v>
      </c>
      <c r="G7">
        <v>1</v>
      </c>
      <c r="H7">
        <v>1.21</v>
      </c>
      <c r="I7" t="s">
        <v>756</v>
      </c>
      <c r="J7" t="s">
        <v>759</v>
      </c>
      <c r="K7" t="s">
        <v>760</v>
      </c>
      <c r="M7" t="s">
        <v>761</v>
      </c>
      <c r="N7" t="s">
        <v>762</v>
      </c>
    </row>
    <row r="8" spans="1:14" x14ac:dyDescent="0.2">
      <c r="A8">
        <v>10308</v>
      </c>
      <c r="B8" t="s">
        <v>765</v>
      </c>
      <c r="C8">
        <v>7</v>
      </c>
      <c r="D8" s="19">
        <v>35326</v>
      </c>
      <c r="E8" s="19">
        <v>35354</v>
      </c>
      <c r="F8" s="19">
        <v>35332</v>
      </c>
      <c r="G8">
        <v>3</v>
      </c>
      <c r="H8">
        <v>1.61</v>
      </c>
      <c r="I8" t="s">
        <v>766</v>
      </c>
      <c r="J8" t="s">
        <v>769</v>
      </c>
      <c r="K8" t="s">
        <v>770</v>
      </c>
      <c r="M8" t="s">
        <v>771</v>
      </c>
      <c r="N8" t="s">
        <v>772</v>
      </c>
    </row>
    <row r="9" spans="1:14" x14ac:dyDescent="0.2">
      <c r="A9">
        <v>10625</v>
      </c>
      <c r="B9" t="s">
        <v>765</v>
      </c>
      <c r="C9">
        <v>3</v>
      </c>
      <c r="D9" s="19">
        <v>35650</v>
      </c>
      <c r="E9" s="19">
        <v>35678</v>
      </c>
      <c r="F9" s="19">
        <v>35656</v>
      </c>
      <c r="G9">
        <v>1</v>
      </c>
      <c r="H9">
        <v>43.9</v>
      </c>
      <c r="I9" t="s">
        <v>766</v>
      </c>
      <c r="J9" t="s">
        <v>769</v>
      </c>
      <c r="K9" t="s">
        <v>770</v>
      </c>
      <c r="M9" t="s">
        <v>771</v>
      </c>
      <c r="N9" t="s">
        <v>772</v>
      </c>
    </row>
    <row r="10" spans="1:14" x14ac:dyDescent="0.2">
      <c r="A10">
        <v>10759</v>
      </c>
      <c r="B10" t="s">
        <v>765</v>
      </c>
      <c r="C10">
        <v>3</v>
      </c>
      <c r="D10" s="19">
        <v>35762</v>
      </c>
      <c r="E10" s="19">
        <v>35790</v>
      </c>
      <c r="F10" s="19">
        <v>35776</v>
      </c>
      <c r="G10">
        <v>3</v>
      </c>
      <c r="H10">
        <v>11.99</v>
      </c>
      <c r="I10" t="s">
        <v>766</v>
      </c>
      <c r="J10" t="s">
        <v>769</v>
      </c>
      <c r="K10" t="s">
        <v>770</v>
      </c>
      <c r="M10" t="s">
        <v>771</v>
      </c>
      <c r="N10" t="s">
        <v>772</v>
      </c>
    </row>
    <row r="11" spans="1:14" x14ac:dyDescent="0.2">
      <c r="A11">
        <v>10926</v>
      </c>
      <c r="B11" t="s">
        <v>765</v>
      </c>
      <c r="C11">
        <v>4</v>
      </c>
      <c r="D11" s="19">
        <v>35858</v>
      </c>
      <c r="E11" s="19">
        <v>35886</v>
      </c>
      <c r="F11" s="19">
        <v>35865</v>
      </c>
      <c r="G11">
        <v>3</v>
      </c>
      <c r="H11">
        <v>39.92</v>
      </c>
      <c r="I11" t="s">
        <v>766</v>
      </c>
      <c r="J11" t="s">
        <v>769</v>
      </c>
      <c r="K11" t="s">
        <v>770</v>
      </c>
      <c r="M11" t="s">
        <v>771</v>
      </c>
      <c r="N11" t="s">
        <v>772</v>
      </c>
    </row>
    <row r="12" spans="1:14" x14ac:dyDescent="0.2">
      <c r="A12">
        <v>10365</v>
      </c>
      <c r="B12" t="s">
        <v>775</v>
      </c>
      <c r="C12">
        <v>3</v>
      </c>
      <c r="D12" s="19">
        <v>35396</v>
      </c>
      <c r="E12" s="19">
        <v>35424</v>
      </c>
      <c r="F12" s="19">
        <v>35401</v>
      </c>
      <c r="G12">
        <v>2</v>
      </c>
      <c r="H12">
        <v>22</v>
      </c>
      <c r="I12" t="s">
        <v>776</v>
      </c>
      <c r="J12" t="s">
        <v>778</v>
      </c>
      <c r="K12" t="s">
        <v>770</v>
      </c>
      <c r="M12" t="s">
        <v>779</v>
      </c>
      <c r="N12" t="s">
        <v>772</v>
      </c>
    </row>
    <row r="13" spans="1:14" x14ac:dyDescent="0.2">
      <c r="A13">
        <v>10507</v>
      </c>
      <c r="B13" t="s">
        <v>775</v>
      </c>
      <c r="C13">
        <v>7</v>
      </c>
      <c r="D13" s="19">
        <v>35535</v>
      </c>
      <c r="E13" s="19">
        <v>35563</v>
      </c>
      <c r="F13" s="19">
        <v>35542</v>
      </c>
      <c r="G13">
        <v>1</v>
      </c>
      <c r="H13">
        <v>47.45</v>
      </c>
      <c r="I13" t="s">
        <v>776</v>
      </c>
      <c r="J13" t="s">
        <v>778</v>
      </c>
      <c r="K13" t="s">
        <v>770</v>
      </c>
      <c r="M13" t="s">
        <v>779</v>
      </c>
      <c r="N13" t="s">
        <v>772</v>
      </c>
    </row>
    <row r="14" spans="1:14" x14ac:dyDescent="0.2">
      <c r="A14">
        <v>10535</v>
      </c>
      <c r="B14" t="s">
        <v>775</v>
      </c>
      <c r="C14">
        <v>4</v>
      </c>
      <c r="D14" s="19">
        <v>35563</v>
      </c>
      <c r="E14" s="19">
        <v>35591</v>
      </c>
      <c r="F14" s="19">
        <v>35571</v>
      </c>
      <c r="G14">
        <v>1</v>
      </c>
      <c r="H14">
        <v>15.64</v>
      </c>
      <c r="I14" t="s">
        <v>776</v>
      </c>
      <c r="J14" t="s">
        <v>778</v>
      </c>
      <c r="K14" t="s">
        <v>770</v>
      </c>
      <c r="M14" t="s">
        <v>779</v>
      </c>
      <c r="N14" t="s">
        <v>772</v>
      </c>
    </row>
    <row r="15" spans="1:14" x14ac:dyDescent="0.2">
      <c r="A15">
        <v>10573</v>
      </c>
      <c r="B15" t="s">
        <v>775</v>
      </c>
      <c r="C15">
        <v>7</v>
      </c>
      <c r="D15" s="19">
        <v>35600</v>
      </c>
      <c r="E15" s="19">
        <v>35628</v>
      </c>
      <c r="F15" s="19">
        <v>35601</v>
      </c>
      <c r="G15">
        <v>3</v>
      </c>
      <c r="H15">
        <v>84.84</v>
      </c>
      <c r="I15" t="s">
        <v>776</v>
      </c>
      <c r="J15" t="s">
        <v>778</v>
      </c>
      <c r="K15" t="s">
        <v>770</v>
      </c>
      <c r="M15" t="s">
        <v>779</v>
      </c>
      <c r="N15" t="s">
        <v>772</v>
      </c>
    </row>
    <row r="16" spans="1:14" x14ac:dyDescent="0.2">
      <c r="A16">
        <v>10677</v>
      </c>
      <c r="B16" t="s">
        <v>775</v>
      </c>
      <c r="C16">
        <v>1</v>
      </c>
      <c r="D16" s="19">
        <v>35695</v>
      </c>
      <c r="E16" s="19">
        <v>35723</v>
      </c>
      <c r="F16" s="19">
        <v>35699</v>
      </c>
      <c r="G16">
        <v>3</v>
      </c>
      <c r="H16">
        <v>4.03</v>
      </c>
      <c r="I16" t="s">
        <v>776</v>
      </c>
      <c r="J16" t="s">
        <v>778</v>
      </c>
      <c r="K16" t="s">
        <v>770</v>
      </c>
      <c r="M16" t="s">
        <v>779</v>
      </c>
      <c r="N16" t="s">
        <v>772</v>
      </c>
    </row>
    <row r="17" spans="1:14" x14ac:dyDescent="0.2">
      <c r="A17">
        <v>10682</v>
      </c>
      <c r="B17" t="s">
        <v>775</v>
      </c>
      <c r="C17">
        <v>3</v>
      </c>
      <c r="D17" s="19">
        <v>35698</v>
      </c>
      <c r="E17" s="19">
        <v>35726</v>
      </c>
      <c r="F17" s="19">
        <v>35704</v>
      </c>
      <c r="G17">
        <v>2</v>
      </c>
      <c r="H17">
        <v>36.130000000000003</v>
      </c>
      <c r="I17" t="s">
        <v>776</v>
      </c>
      <c r="J17" t="s">
        <v>778</v>
      </c>
      <c r="K17" t="s">
        <v>770</v>
      </c>
      <c r="M17" t="s">
        <v>779</v>
      </c>
      <c r="N17" t="s">
        <v>772</v>
      </c>
    </row>
    <row r="18" spans="1:14" x14ac:dyDescent="0.2">
      <c r="A18">
        <v>10856</v>
      </c>
      <c r="B18" t="s">
        <v>775</v>
      </c>
      <c r="C18">
        <v>3</v>
      </c>
      <c r="D18" s="19">
        <v>35823</v>
      </c>
      <c r="E18" s="19">
        <v>35851</v>
      </c>
      <c r="F18" s="19">
        <v>35836</v>
      </c>
      <c r="G18">
        <v>2</v>
      </c>
      <c r="H18">
        <v>58.43</v>
      </c>
      <c r="I18" t="s">
        <v>776</v>
      </c>
      <c r="J18" t="s">
        <v>778</v>
      </c>
      <c r="K18" t="s">
        <v>770</v>
      </c>
      <c r="M18" t="s">
        <v>779</v>
      </c>
      <c r="N18" t="s">
        <v>772</v>
      </c>
    </row>
    <row r="19" spans="1:14" x14ac:dyDescent="0.2">
      <c r="A19">
        <v>10355</v>
      </c>
      <c r="B19" t="s">
        <v>781</v>
      </c>
      <c r="C19">
        <v>6</v>
      </c>
      <c r="D19" s="19">
        <v>35384</v>
      </c>
      <c r="E19" s="19">
        <v>35412</v>
      </c>
      <c r="F19" s="19">
        <v>35389</v>
      </c>
      <c r="G19">
        <v>1</v>
      </c>
      <c r="H19">
        <v>41.95</v>
      </c>
      <c r="I19" t="s">
        <v>782</v>
      </c>
      <c r="J19" t="s">
        <v>1500</v>
      </c>
      <c r="K19" t="s">
        <v>1501</v>
      </c>
      <c r="L19" t="s">
        <v>1502</v>
      </c>
      <c r="M19" t="s">
        <v>1503</v>
      </c>
      <c r="N19" t="s">
        <v>787</v>
      </c>
    </row>
    <row r="20" spans="1:14" x14ac:dyDescent="0.2">
      <c r="A20">
        <v>10383</v>
      </c>
      <c r="B20" t="s">
        <v>781</v>
      </c>
      <c r="C20">
        <v>8</v>
      </c>
      <c r="D20" s="19">
        <v>35415</v>
      </c>
      <c r="E20" s="19">
        <v>35443</v>
      </c>
      <c r="F20" s="19">
        <v>35417</v>
      </c>
      <c r="G20">
        <v>3</v>
      </c>
      <c r="H20">
        <v>34.24</v>
      </c>
      <c r="I20" t="s">
        <v>782</v>
      </c>
      <c r="J20" t="s">
        <v>1500</v>
      </c>
      <c r="K20" t="s">
        <v>1501</v>
      </c>
      <c r="L20" t="s">
        <v>1502</v>
      </c>
      <c r="M20" t="s">
        <v>1503</v>
      </c>
      <c r="N20" t="s">
        <v>787</v>
      </c>
    </row>
    <row r="21" spans="1:14" x14ac:dyDescent="0.2">
      <c r="A21">
        <v>10453</v>
      </c>
      <c r="B21" t="s">
        <v>781</v>
      </c>
      <c r="C21">
        <v>1</v>
      </c>
      <c r="D21" s="19">
        <v>35482</v>
      </c>
      <c r="E21" s="19">
        <v>35510</v>
      </c>
      <c r="F21" s="19">
        <v>35487</v>
      </c>
      <c r="G21">
        <v>2</v>
      </c>
      <c r="H21">
        <v>25.36</v>
      </c>
      <c r="I21" t="s">
        <v>782</v>
      </c>
      <c r="J21" t="s">
        <v>1500</v>
      </c>
      <c r="K21" t="s">
        <v>1501</v>
      </c>
      <c r="L21" t="s">
        <v>1502</v>
      </c>
      <c r="M21" t="s">
        <v>1503</v>
      </c>
      <c r="N21" t="s">
        <v>787</v>
      </c>
    </row>
    <row r="22" spans="1:14" x14ac:dyDescent="0.2">
      <c r="A22">
        <v>10558</v>
      </c>
      <c r="B22" t="s">
        <v>781</v>
      </c>
      <c r="C22">
        <v>1</v>
      </c>
      <c r="D22" s="19">
        <v>35585</v>
      </c>
      <c r="E22" s="19">
        <v>35613</v>
      </c>
      <c r="F22" s="19">
        <v>35591</v>
      </c>
      <c r="G22">
        <v>2</v>
      </c>
      <c r="H22">
        <v>72.97</v>
      </c>
      <c r="I22" t="s">
        <v>782</v>
      </c>
      <c r="J22" t="s">
        <v>1500</v>
      </c>
      <c r="K22" t="s">
        <v>1501</v>
      </c>
      <c r="L22" t="s">
        <v>1502</v>
      </c>
      <c r="M22" t="s">
        <v>1503</v>
      </c>
      <c r="N22" t="s">
        <v>787</v>
      </c>
    </row>
    <row r="23" spans="1:14" x14ac:dyDescent="0.2">
      <c r="A23">
        <v>10707</v>
      </c>
      <c r="B23" t="s">
        <v>781</v>
      </c>
      <c r="C23">
        <v>4</v>
      </c>
      <c r="D23" s="19">
        <v>35719</v>
      </c>
      <c r="E23" s="19">
        <v>35733</v>
      </c>
      <c r="F23" s="19">
        <v>35726</v>
      </c>
      <c r="G23">
        <v>3</v>
      </c>
      <c r="H23">
        <v>21.74</v>
      </c>
      <c r="I23" t="s">
        <v>782</v>
      </c>
      <c r="J23" t="s">
        <v>1500</v>
      </c>
      <c r="K23" t="s">
        <v>1501</v>
      </c>
      <c r="L23" t="s">
        <v>1502</v>
      </c>
      <c r="M23" t="s">
        <v>1503</v>
      </c>
      <c r="N23" t="s">
        <v>787</v>
      </c>
    </row>
    <row r="24" spans="1:14" x14ac:dyDescent="0.2">
      <c r="A24">
        <v>10741</v>
      </c>
      <c r="B24" t="s">
        <v>781</v>
      </c>
      <c r="C24">
        <v>4</v>
      </c>
      <c r="D24" s="19">
        <v>35748</v>
      </c>
      <c r="E24" s="19">
        <v>35762</v>
      </c>
      <c r="F24" s="19">
        <v>35752</v>
      </c>
      <c r="G24">
        <v>3</v>
      </c>
      <c r="H24">
        <v>10.96</v>
      </c>
      <c r="I24" t="s">
        <v>782</v>
      </c>
      <c r="J24" t="s">
        <v>1500</v>
      </c>
      <c r="K24" t="s">
        <v>1501</v>
      </c>
      <c r="L24" t="s">
        <v>1502</v>
      </c>
      <c r="M24" t="s">
        <v>1503</v>
      </c>
      <c r="N24" t="s">
        <v>787</v>
      </c>
    </row>
    <row r="25" spans="1:14" x14ac:dyDescent="0.2">
      <c r="A25">
        <v>10743</v>
      </c>
      <c r="B25" t="s">
        <v>781</v>
      </c>
      <c r="C25">
        <v>1</v>
      </c>
      <c r="D25" s="19">
        <v>35751</v>
      </c>
      <c r="E25" s="19">
        <v>35779</v>
      </c>
      <c r="F25" s="19">
        <v>35755</v>
      </c>
      <c r="G25">
        <v>2</v>
      </c>
      <c r="H25">
        <v>23.72</v>
      </c>
      <c r="I25" t="s">
        <v>782</v>
      </c>
      <c r="J25" t="s">
        <v>1500</v>
      </c>
      <c r="K25" t="s">
        <v>1501</v>
      </c>
      <c r="L25" t="s">
        <v>1502</v>
      </c>
      <c r="M25" t="s">
        <v>1503</v>
      </c>
      <c r="N25" t="s">
        <v>787</v>
      </c>
    </row>
    <row r="26" spans="1:14" x14ac:dyDescent="0.2">
      <c r="A26">
        <v>10768</v>
      </c>
      <c r="B26" t="s">
        <v>781</v>
      </c>
      <c r="C26">
        <v>3</v>
      </c>
      <c r="D26" s="19">
        <v>35772</v>
      </c>
      <c r="E26" s="19">
        <v>35800</v>
      </c>
      <c r="F26" s="19">
        <v>35779</v>
      </c>
      <c r="G26">
        <v>2</v>
      </c>
      <c r="H26">
        <v>146.32</v>
      </c>
      <c r="I26" t="s">
        <v>782</v>
      </c>
      <c r="J26" t="s">
        <v>1500</v>
      </c>
      <c r="K26" t="s">
        <v>1501</v>
      </c>
      <c r="L26" t="s">
        <v>1502</v>
      </c>
      <c r="M26" t="s">
        <v>1503</v>
      </c>
      <c r="N26" t="s">
        <v>787</v>
      </c>
    </row>
    <row r="27" spans="1:14" x14ac:dyDescent="0.2">
      <c r="A27">
        <v>10793</v>
      </c>
      <c r="B27" t="s">
        <v>781</v>
      </c>
      <c r="C27">
        <v>3</v>
      </c>
      <c r="D27" s="19">
        <v>35788</v>
      </c>
      <c r="E27" s="19">
        <v>35816</v>
      </c>
      <c r="F27" s="19">
        <v>35803</v>
      </c>
      <c r="G27">
        <v>3</v>
      </c>
      <c r="H27">
        <v>4.5199999999999996</v>
      </c>
      <c r="I27" t="s">
        <v>782</v>
      </c>
      <c r="J27" t="s">
        <v>1500</v>
      </c>
      <c r="K27" t="s">
        <v>1501</v>
      </c>
      <c r="L27" t="s">
        <v>1502</v>
      </c>
      <c r="M27" t="s">
        <v>1503</v>
      </c>
      <c r="N27" t="s">
        <v>787</v>
      </c>
    </row>
    <row r="28" spans="1:14" x14ac:dyDescent="0.2">
      <c r="A28">
        <v>10864</v>
      </c>
      <c r="B28" t="s">
        <v>781</v>
      </c>
      <c r="C28">
        <v>4</v>
      </c>
      <c r="D28" s="19">
        <v>35828</v>
      </c>
      <c r="E28" s="19">
        <v>35856</v>
      </c>
      <c r="F28" s="19">
        <v>35835</v>
      </c>
      <c r="G28">
        <v>2</v>
      </c>
      <c r="H28">
        <v>3.04</v>
      </c>
      <c r="I28" t="s">
        <v>782</v>
      </c>
      <c r="J28" t="s">
        <v>1500</v>
      </c>
      <c r="K28" t="s">
        <v>1501</v>
      </c>
      <c r="L28" t="s">
        <v>1502</v>
      </c>
      <c r="M28" t="s">
        <v>1503</v>
      </c>
      <c r="N28" t="s">
        <v>787</v>
      </c>
    </row>
    <row r="29" spans="1:14" x14ac:dyDescent="0.2">
      <c r="A29">
        <v>10920</v>
      </c>
      <c r="B29" t="s">
        <v>781</v>
      </c>
      <c r="C29">
        <v>4</v>
      </c>
      <c r="D29" s="19">
        <v>35857</v>
      </c>
      <c r="E29" s="19">
        <v>35885</v>
      </c>
      <c r="F29" s="19">
        <v>35863</v>
      </c>
      <c r="G29">
        <v>2</v>
      </c>
      <c r="H29">
        <v>29.61</v>
      </c>
      <c r="I29" t="s">
        <v>782</v>
      </c>
      <c r="J29" t="s">
        <v>1500</v>
      </c>
      <c r="K29" t="s">
        <v>1501</v>
      </c>
      <c r="L29" t="s">
        <v>1502</v>
      </c>
      <c r="M29" t="s">
        <v>1503</v>
      </c>
      <c r="N29" t="s">
        <v>787</v>
      </c>
    </row>
    <row r="30" spans="1:14" x14ac:dyDescent="0.2">
      <c r="A30">
        <v>10953</v>
      </c>
      <c r="B30" t="s">
        <v>781</v>
      </c>
      <c r="C30">
        <v>9</v>
      </c>
      <c r="D30" s="19">
        <v>35870</v>
      </c>
      <c r="E30" s="19">
        <v>35884</v>
      </c>
      <c r="F30" s="19">
        <v>35879</v>
      </c>
      <c r="G30">
        <v>2</v>
      </c>
      <c r="H30">
        <v>23.72</v>
      </c>
      <c r="I30" t="s">
        <v>782</v>
      </c>
      <c r="J30" t="s">
        <v>1500</v>
      </c>
      <c r="K30" t="s">
        <v>1501</v>
      </c>
      <c r="L30" t="s">
        <v>1502</v>
      </c>
      <c r="M30" t="s">
        <v>1503</v>
      </c>
      <c r="N30" t="s">
        <v>787</v>
      </c>
    </row>
    <row r="31" spans="1:14" x14ac:dyDescent="0.2">
      <c r="A31">
        <v>11016</v>
      </c>
      <c r="B31" t="s">
        <v>781</v>
      </c>
      <c r="C31">
        <v>9</v>
      </c>
      <c r="D31" s="19">
        <v>35895</v>
      </c>
      <c r="E31" s="19">
        <v>35923</v>
      </c>
      <c r="F31" s="19">
        <v>35898</v>
      </c>
      <c r="G31">
        <v>2</v>
      </c>
      <c r="H31">
        <v>33.799999999999997</v>
      </c>
      <c r="I31" t="s">
        <v>782</v>
      </c>
      <c r="J31" t="s">
        <v>1500</v>
      </c>
      <c r="K31" t="s">
        <v>1501</v>
      </c>
      <c r="L31" t="s">
        <v>1502</v>
      </c>
      <c r="M31" t="s">
        <v>1503</v>
      </c>
      <c r="N31" t="s">
        <v>787</v>
      </c>
    </row>
    <row r="32" spans="1:14" x14ac:dyDescent="0.2">
      <c r="A32">
        <v>10278</v>
      </c>
      <c r="B32" t="s">
        <v>790</v>
      </c>
      <c r="C32">
        <v>8</v>
      </c>
      <c r="D32" s="19">
        <v>35289</v>
      </c>
      <c r="E32" s="19">
        <v>35317</v>
      </c>
      <c r="F32" s="19">
        <v>35293</v>
      </c>
      <c r="G32">
        <v>2</v>
      </c>
      <c r="H32">
        <v>92.69</v>
      </c>
      <c r="I32" t="s">
        <v>791</v>
      </c>
      <c r="J32" t="s">
        <v>794</v>
      </c>
      <c r="K32" t="s">
        <v>795</v>
      </c>
      <c r="M32" t="s">
        <v>796</v>
      </c>
      <c r="N32" t="s">
        <v>797</v>
      </c>
    </row>
    <row r="33" spans="1:14" x14ac:dyDescent="0.2">
      <c r="A33">
        <v>10280</v>
      </c>
      <c r="B33" t="s">
        <v>790</v>
      </c>
      <c r="C33">
        <v>2</v>
      </c>
      <c r="D33" s="19">
        <v>35291</v>
      </c>
      <c r="E33" s="19">
        <v>35319</v>
      </c>
      <c r="F33" s="19">
        <v>35320</v>
      </c>
      <c r="G33">
        <v>1</v>
      </c>
      <c r="H33">
        <v>8.98</v>
      </c>
      <c r="I33" t="s">
        <v>791</v>
      </c>
      <c r="J33" t="s">
        <v>794</v>
      </c>
      <c r="K33" t="s">
        <v>795</v>
      </c>
      <c r="M33" t="s">
        <v>796</v>
      </c>
      <c r="N33" t="s">
        <v>797</v>
      </c>
    </row>
    <row r="34" spans="1:14" x14ac:dyDescent="0.2">
      <c r="A34">
        <v>10384</v>
      </c>
      <c r="B34" t="s">
        <v>790</v>
      </c>
      <c r="C34">
        <v>3</v>
      </c>
      <c r="D34" s="19">
        <v>35415</v>
      </c>
      <c r="E34" s="19">
        <v>35443</v>
      </c>
      <c r="F34" s="19">
        <v>35419</v>
      </c>
      <c r="G34">
        <v>3</v>
      </c>
      <c r="H34">
        <v>168.64</v>
      </c>
      <c r="I34" t="s">
        <v>791</v>
      </c>
      <c r="J34" t="s">
        <v>794</v>
      </c>
      <c r="K34" t="s">
        <v>795</v>
      </c>
      <c r="M34" t="s">
        <v>796</v>
      </c>
      <c r="N34" t="s">
        <v>797</v>
      </c>
    </row>
    <row r="35" spans="1:14" x14ac:dyDescent="0.2">
      <c r="A35">
        <v>10444</v>
      </c>
      <c r="B35" t="s">
        <v>790</v>
      </c>
      <c r="C35">
        <v>3</v>
      </c>
      <c r="D35" s="19">
        <v>35473</v>
      </c>
      <c r="E35" s="19">
        <v>35501</v>
      </c>
      <c r="F35" s="19">
        <v>35482</v>
      </c>
      <c r="G35">
        <v>3</v>
      </c>
      <c r="H35">
        <v>3.5</v>
      </c>
      <c r="I35" t="s">
        <v>791</v>
      </c>
      <c r="J35" t="s">
        <v>794</v>
      </c>
      <c r="K35" t="s">
        <v>795</v>
      </c>
      <c r="M35" t="s">
        <v>796</v>
      </c>
      <c r="N35" t="s">
        <v>797</v>
      </c>
    </row>
    <row r="36" spans="1:14" x14ac:dyDescent="0.2">
      <c r="A36">
        <v>10445</v>
      </c>
      <c r="B36" t="s">
        <v>790</v>
      </c>
      <c r="C36">
        <v>3</v>
      </c>
      <c r="D36" s="19">
        <v>35474</v>
      </c>
      <c r="E36" s="19">
        <v>35502</v>
      </c>
      <c r="F36" s="19">
        <v>35481</v>
      </c>
      <c r="G36">
        <v>1</v>
      </c>
      <c r="H36">
        <v>9.3000000000000007</v>
      </c>
      <c r="I36" t="s">
        <v>791</v>
      </c>
      <c r="J36" t="s">
        <v>794</v>
      </c>
      <c r="K36" t="s">
        <v>795</v>
      </c>
      <c r="M36" t="s">
        <v>796</v>
      </c>
      <c r="N36" t="s">
        <v>797</v>
      </c>
    </row>
    <row r="37" spans="1:14" x14ac:dyDescent="0.2">
      <c r="A37">
        <v>10524</v>
      </c>
      <c r="B37" t="s">
        <v>790</v>
      </c>
      <c r="C37">
        <v>1</v>
      </c>
      <c r="D37" s="19">
        <v>35551</v>
      </c>
      <c r="E37" s="19">
        <v>35579</v>
      </c>
      <c r="F37" s="19">
        <v>35557</v>
      </c>
      <c r="G37">
        <v>2</v>
      </c>
      <c r="H37">
        <v>244.79</v>
      </c>
      <c r="I37" t="s">
        <v>791</v>
      </c>
      <c r="J37" t="s">
        <v>794</v>
      </c>
      <c r="K37" t="s">
        <v>795</v>
      </c>
      <c r="M37" t="s">
        <v>796</v>
      </c>
      <c r="N37" t="s">
        <v>797</v>
      </c>
    </row>
    <row r="38" spans="1:14" x14ac:dyDescent="0.2">
      <c r="A38">
        <v>10572</v>
      </c>
      <c r="B38" t="s">
        <v>790</v>
      </c>
      <c r="C38">
        <v>3</v>
      </c>
      <c r="D38" s="19">
        <v>35599</v>
      </c>
      <c r="E38" s="19">
        <v>35627</v>
      </c>
      <c r="F38" s="19">
        <v>35606</v>
      </c>
      <c r="G38">
        <v>2</v>
      </c>
      <c r="H38">
        <v>116.43</v>
      </c>
      <c r="I38" t="s">
        <v>791</v>
      </c>
      <c r="J38" t="s">
        <v>794</v>
      </c>
      <c r="K38" t="s">
        <v>795</v>
      </c>
      <c r="M38" t="s">
        <v>796</v>
      </c>
      <c r="N38" t="s">
        <v>797</v>
      </c>
    </row>
    <row r="39" spans="1:14" x14ac:dyDescent="0.2">
      <c r="A39">
        <v>10626</v>
      </c>
      <c r="B39" t="s">
        <v>790</v>
      </c>
      <c r="C39">
        <v>1</v>
      </c>
      <c r="D39" s="19">
        <v>35653</v>
      </c>
      <c r="E39" s="19">
        <v>35681</v>
      </c>
      <c r="F39" s="19">
        <v>35662</v>
      </c>
      <c r="G39">
        <v>2</v>
      </c>
      <c r="H39">
        <v>138.69</v>
      </c>
      <c r="I39" t="s">
        <v>791</v>
      </c>
      <c r="J39" t="s">
        <v>794</v>
      </c>
      <c r="K39" t="s">
        <v>795</v>
      </c>
      <c r="M39" t="s">
        <v>796</v>
      </c>
      <c r="N39" t="s">
        <v>797</v>
      </c>
    </row>
    <row r="40" spans="1:14" x14ac:dyDescent="0.2">
      <c r="A40">
        <v>10654</v>
      </c>
      <c r="B40" t="s">
        <v>790</v>
      </c>
      <c r="C40">
        <v>5</v>
      </c>
      <c r="D40" s="19">
        <v>35675</v>
      </c>
      <c r="E40" s="19">
        <v>35703</v>
      </c>
      <c r="F40" s="19">
        <v>35684</v>
      </c>
      <c r="G40">
        <v>1</v>
      </c>
      <c r="H40">
        <v>55.26</v>
      </c>
      <c r="I40" t="s">
        <v>791</v>
      </c>
      <c r="J40" t="s">
        <v>794</v>
      </c>
      <c r="K40" t="s">
        <v>795</v>
      </c>
      <c r="M40" t="s">
        <v>796</v>
      </c>
      <c r="N40" t="s">
        <v>797</v>
      </c>
    </row>
    <row r="41" spans="1:14" x14ac:dyDescent="0.2">
      <c r="A41">
        <v>10672</v>
      </c>
      <c r="B41" t="s">
        <v>790</v>
      </c>
      <c r="C41">
        <v>9</v>
      </c>
      <c r="D41" s="19">
        <v>35690</v>
      </c>
      <c r="E41" s="19">
        <v>35704</v>
      </c>
      <c r="F41" s="19">
        <v>35699</v>
      </c>
      <c r="G41">
        <v>2</v>
      </c>
      <c r="H41">
        <v>95.75</v>
      </c>
      <c r="I41" t="s">
        <v>791</v>
      </c>
      <c r="J41" t="s">
        <v>794</v>
      </c>
      <c r="K41" t="s">
        <v>795</v>
      </c>
      <c r="M41" t="s">
        <v>796</v>
      </c>
      <c r="N41" t="s">
        <v>797</v>
      </c>
    </row>
    <row r="42" spans="1:14" x14ac:dyDescent="0.2">
      <c r="A42">
        <v>10689</v>
      </c>
      <c r="B42" t="s">
        <v>790</v>
      </c>
      <c r="C42">
        <v>1</v>
      </c>
      <c r="D42" s="19">
        <v>35704</v>
      </c>
      <c r="E42" s="19">
        <v>35732</v>
      </c>
      <c r="F42" s="19">
        <v>35710</v>
      </c>
      <c r="G42">
        <v>2</v>
      </c>
      <c r="H42">
        <v>13.42</v>
      </c>
      <c r="I42" t="s">
        <v>791</v>
      </c>
      <c r="J42" t="s">
        <v>794</v>
      </c>
      <c r="K42" t="s">
        <v>795</v>
      </c>
      <c r="M42" t="s">
        <v>796</v>
      </c>
      <c r="N42" t="s">
        <v>797</v>
      </c>
    </row>
    <row r="43" spans="1:14" x14ac:dyDescent="0.2">
      <c r="A43">
        <v>10733</v>
      </c>
      <c r="B43" t="s">
        <v>790</v>
      </c>
      <c r="C43">
        <v>1</v>
      </c>
      <c r="D43" s="19">
        <v>35741</v>
      </c>
      <c r="E43" s="19">
        <v>35769</v>
      </c>
      <c r="F43" s="19">
        <v>35744</v>
      </c>
      <c r="G43">
        <v>3</v>
      </c>
      <c r="H43">
        <v>110.11</v>
      </c>
      <c r="I43" t="s">
        <v>791</v>
      </c>
      <c r="J43" t="s">
        <v>794</v>
      </c>
      <c r="K43" t="s">
        <v>795</v>
      </c>
      <c r="M43" t="s">
        <v>796</v>
      </c>
      <c r="N43" t="s">
        <v>797</v>
      </c>
    </row>
    <row r="44" spans="1:14" x14ac:dyDescent="0.2">
      <c r="A44">
        <v>10778</v>
      </c>
      <c r="B44" t="s">
        <v>790</v>
      </c>
      <c r="C44">
        <v>3</v>
      </c>
      <c r="D44" s="19">
        <v>35780</v>
      </c>
      <c r="E44" s="19">
        <v>35808</v>
      </c>
      <c r="F44" s="19">
        <v>35788</v>
      </c>
      <c r="G44">
        <v>1</v>
      </c>
      <c r="H44">
        <v>6.79</v>
      </c>
      <c r="I44" t="s">
        <v>791</v>
      </c>
      <c r="J44" t="s">
        <v>794</v>
      </c>
      <c r="K44" t="s">
        <v>795</v>
      </c>
      <c r="M44" t="s">
        <v>796</v>
      </c>
      <c r="N44" t="s">
        <v>797</v>
      </c>
    </row>
    <row r="45" spans="1:14" x14ac:dyDescent="0.2">
      <c r="A45">
        <v>10837</v>
      </c>
      <c r="B45" t="s">
        <v>790</v>
      </c>
      <c r="C45">
        <v>9</v>
      </c>
      <c r="D45" s="19">
        <v>35811</v>
      </c>
      <c r="E45" s="19">
        <v>35839</v>
      </c>
      <c r="F45" s="19">
        <v>35818</v>
      </c>
      <c r="G45">
        <v>3</v>
      </c>
      <c r="H45">
        <v>13.32</v>
      </c>
      <c r="I45" t="s">
        <v>791</v>
      </c>
      <c r="J45" t="s">
        <v>794</v>
      </c>
      <c r="K45" t="s">
        <v>795</v>
      </c>
      <c r="M45" t="s">
        <v>796</v>
      </c>
      <c r="N45" t="s">
        <v>797</v>
      </c>
    </row>
    <row r="46" spans="1:14" x14ac:dyDescent="0.2">
      <c r="A46">
        <v>10857</v>
      </c>
      <c r="B46" t="s">
        <v>790</v>
      </c>
      <c r="C46">
        <v>8</v>
      </c>
      <c r="D46" s="19">
        <v>35823</v>
      </c>
      <c r="E46" s="19">
        <v>35851</v>
      </c>
      <c r="F46" s="19">
        <v>35832</v>
      </c>
      <c r="G46">
        <v>2</v>
      </c>
      <c r="H46">
        <v>188.85</v>
      </c>
      <c r="I46" t="s">
        <v>791</v>
      </c>
      <c r="J46" t="s">
        <v>794</v>
      </c>
      <c r="K46" t="s">
        <v>795</v>
      </c>
      <c r="M46" t="s">
        <v>796</v>
      </c>
      <c r="N46" t="s">
        <v>797</v>
      </c>
    </row>
    <row r="47" spans="1:14" x14ac:dyDescent="0.2">
      <c r="A47">
        <v>10866</v>
      </c>
      <c r="B47" t="s">
        <v>790</v>
      </c>
      <c r="C47">
        <v>5</v>
      </c>
      <c r="D47" s="19">
        <v>35829</v>
      </c>
      <c r="E47" s="19">
        <v>35857</v>
      </c>
      <c r="F47" s="19">
        <v>35838</v>
      </c>
      <c r="G47">
        <v>1</v>
      </c>
      <c r="H47">
        <v>109.11</v>
      </c>
      <c r="I47" t="s">
        <v>791</v>
      </c>
      <c r="J47" t="s">
        <v>794</v>
      </c>
      <c r="K47" t="s">
        <v>795</v>
      </c>
      <c r="M47" t="s">
        <v>796</v>
      </c>
      <c r="N47" t="s">
        <v>797</v>
      </c>
    </row>
    <row r="48" spans="1:14" x14ac:dyDescent="0.2">
      <c r="A48">
        <v>10875</v>
      </c>
      <c r="B48" t="s">
        <v>790</v>
      </c>
      <c r="C48">
        <v>4</v>
      </c>
      <c r="D48" s="19">
        <v>35832</v>
      </c>
      <c r="E48" s="19">
        <v>35860</v>
      </c>
      <c r="F48" s="19">
        <v>35857</v>
      </c>
      <c r="G48">
        <v>2</v>
      </c>
      <c r="H48">
        <v>32.369999999999997</v>
      </c>
      <c r="I48" t="s">
        <v>791</v>
      </c>
      <c r="J48" t="s">
        <v>794</v>
      </c>
      <c r="K48" t="s">
        <v>795</v>
      </c>
      <c r="M48" t="s">
        <v>796</v>
      </c>
      <c r="N48" t="s">
        <v>797</v>
      </c>
    </row>
    <row r="49" spans="1:14" x14ac:dyDescent="0.2">
      <c r="A49">
        <v>10924</v>
      </c>
      <c r="B49" t="s">
        <v>790</v>
      </c>
      <c r="C49">
        <v>3</v>
      </c>
      <c r="D49" s="19">
        <v>35858</v>
      </c>
      <c r="E49" s="19">
        <v>35886</v>
      </c>
      <c r="F49" s="19">
        <v>35893</v>
      </c>
      <c r="G49">
        <v>2</v>
      </c>
      <c r="H49">
        <v>151.52000000000001</v>
      </c>
      <c r="I49" t="s">
        <v>791</v>
      </c>
      <c r="J49" t="s">
        <v>794</v>
      </c>
      <c r="K49" t="s">
        <v>795</v>
      </c>
      <c r="M49" t="s">
        <v>796</v>
      </c>
      <c r="N49" t="s">
        <v>797</v>
      </c>
    </row>
    <row r="50" spans="1:14" x14ac:dyDescent="0.2">
      <c r="A50">
        <v>10501</v>
      </c>
      <c r="B50" t="s">
        <v>800</v>
      </c>
      <c r="C50">
        <v>9</v>
      </c>
      <c r="D50" s="19">
        <v>35529</v>
      </c>
      <c r="E50" s="19">
        <v>35557</v>
      </c>
      <c r="F50" s="19">
        <v>35536</v>
      </c>
      <c r="G50">
        <v>3</v>
      </c>
      <c r="H50">
        <v>8.85</v>
      </c>
      <c r="I50" t="s">
        <v>801</v>
      </c>
      <c r="J50" t="s">
        <v>803</v>
      </c>
      <c r="K50" t="s">
        <v>804</v>
      </c>
      <c r="M50" t="s">
        <v>805</v>
      </c>
      <c r="N50" t="s">
        <v>762</v>
      </c>
    </row>
    <row r="51" spans="1:14" x14ac:dyDescent="0.2">
      <c r="A51">
        <v>10509</v>
      </c>
      <c r="B51" t="s">
        <v>800</v>
      </c>
      <c r="C51">
        <v>4</v>
      </c>
      <c r="D51" s="19">
        <v>35537</v>
      </c>
      <c r="E51" s="19">
        <v>35565</v>
      </c>
      <c r="F51" s="19">
        <v>35549</v>
      </c>
      <c r="G51">
        <v>1</v>
      </c>
      <c r="H51">
        <v>0.15</v>
      </c>
      <c r="I51" t="s">
        <v>801</v>
      </c>
      <c r="J51" t="s">
        <v>803</v>
      </c>
      <c r="K51" t="s">
        <v>804</v>
      </c>
      <c r="M51" t="s">
        <v>805</v>
      </c>
      <c r="N51" t="s">
        <v>762</v>
      </c>
    </row>
    <row r="52" spans="1:14" x14ac:dyDescent="0.2">
      <c r="A52">
        <v>10582</v>
      </c>
      <c r="B52" t="s">
        <v>800</v>
      </c>
      <c r="C52">
        <v>3</v>
      </c>
      <c r="D52" s="19">
        <v>35608</v>
      </c>
      <c r="E52" s="19">
        <v>35636</v>
      </c>
      <c r="F52" s="19">
        <v>35625</v>
      </c>
      <c r="G52">
        <v>2</v>
      </c>
      <c r="H52">
        <v>27.71</v>
      </c>
      <c r="I52" t="s">
        <v>801</v>
      </c>
      <c r="J52" t="s">
        <v>803</v>
      </c>
      <c r="K52" t="s">
        <v>804</v>
      </c>
      <c r="M52" t="s">
        <v>805</v>
      </c>
      <c r="N52" t="s">
        <v>762</v>
      </c>
    </row>
    <row r="53" spans="1:14" x14ac:dyDescent="0.2">
      <c r="A53">
        <v>10614</v>
      </c>
      <c r="B53" t="s">
        <v>800</v>
      </c>
      <c r="C53">
        <v>8</v>
      </c>
      <c r="D53" s="19">
        <v>35640</v>
      </c>
      <c r="E53" s="19">
        <v>35668</v>
      </c>
      <c r="F53" s="19">
        <v>35643</v>
      </c>
      <c r="G53">
        <v>3</v>
      </c>
      <c r="H53">
        <v>1.93</v>
      </c>
      <c r="I53" t="s">
        <v>801</v>
      </c>
      <c r="J53" t="s">
        <v>803</v>
      </c>
      <c r="K53" t="s">
        <v>804</v>
      </c>
      <c r="M53" t="s">
        <v>805</v>
      </c>
      <c r="N53" t="s">
        <v>762</v>
      </c>
    </row>
    <row r="54" spans="1:14" x14ac:dyDescent="0.2">
      <c r="A54">
        <v>10853</v>
      </c>
      <c r="B54" t="s">
        <v>800</v>
      </c>
      <c r="C54">
        <v>9</v>
      </c>
      <c r="D54" s="19">
        <v>35822</v>
      </c>
      <c r="E54" s="19">
        <v>35850</v>
      </c>
      <c r="F54" s="19">
        <v>35829</v>
      </c>
      <c r="G54">
        <v>2</v>
      </c>
      <c r="H54">
        <v>53.83</v>
      </c>
      <c r="I54" t="s">
        <v>801</v>
      </c>
      <c r="J54" t="s">
        <v>803</v>
      </c>
      <c r="K54" t="s">
        <v>804</v>
      </c>
      <c r="M54" t="s">
        <v>805</v>
      </c>
      <c r="N54" t="s">
        <v>762</v>
      </c>
    </row>
    <row r="55" spans="1:14" x14ac:dyDescent="0.2">
      <c r="A55">
        <v>10956</v>
      </c>
      <c r="B55" t="s">
        <v>800</v>
      </c>
      <c r="C55">
        <v>6</v>
      </c>
      <c r="D55" s="19">
        <v>35871</v>
      </c>
      <c r="E55" s="19">
        <v>35913</v>
      </c>
      <c r="F55" s="19">
        <v>35874</v>
      </c>
      <c r="G55">
        <v>2</v>
      </c>
      <c r="H55">
        <v>44.65</v>
      </c>
      <c r="I55" t="s">
        <v>801</v>
      </c>
      <c r="J55" t="s">
        <v>803</v>
      </c>
      <c r="K55" t="s">
        <v>804</v>
      </c>
      <c r="M55" t="s">
        <v>805</v>
      </c>
      <c r="N55" t="s">
        <v>762</v>
      </c>
    </row>
    <row r="56" spans="1:14" x14ac:dyDescent="0.2">
      <c r="A56">
        <v>11058</v>
      </c>
      <c r="B56" t="s">
        <v>800</v>
      </c>
      <c r="C56">
        <v>9</v>
      </c>
      <c r="D56" s="19">
        <v>35914</v>
      </c>
      <c r="E56" s="19">
        <v>35942</v>
      </c>
      <c r="F56" s="19"/>
      <c r="G56">
        <v>3</v>
      </c>
      <c r="H56">
        <v>31.14</v>
      </c>
      <c r="I56" t="s">
        <v>801</v>
      </c>
      <c r="J56" t="s">
        <v>803</v>
      </c>
      <c r="K56" t="s">
        <v>804</v>
      </c>
      <c r="M56" t="s">
        <v>805</v>
      </c>
      <c r="N56" t="s">
        <v>762</v>
      </c>
    </row>
    <row r="57" spans="1:14" x14ac:dyDescent="0.2">
      <c r="A57">
        <v>10265</v>
      </c>
      <c r="B57" t="s">
        <v>808</v>
      </c>
      <c r="C57">
        <v>2</v>
      </c>
      <c r="D57" s="19">
        <v>35271</v>
      </c>
      <c r="E57" s="19">
        <v>35299</v>
      </c>
      <c r="F57" s="19">
        <v>35289</v>
      </c>
      <c r="G57">
        <v>1</v>
      </c>
      <c r="H57">
        <v>55.28</v>
      </c>
      <c r="I57" t="s">
        <v>809</v>
      </c>
      <c r="J57" t="s">
        <v>812</v>
      </c>
      <c r="K57" t="s">
        <v>813</v>
      </c>
      <c r="M57" t="s">
        <v>814</v>
      </c>
      <c r="N57" t="s">
        <v>815</v>
      </c>
    </row>
    <row r="58" spans="1:14" x14ac:dyDescent="0.2">
      <c r="A58">
        <v>10297</v>
      </c>
      <c r="B58" t="s">
        <v>808</v>
      </c>
      <c r="C58">
        <v>5</v>
      </c>
      <c r="D58" s="19">
        <v>35312</v>
      </c>
      <c r="E58" s="19">
        <v>35354</v>
      </c>
      <c r="F58" s="19">
        <v>35318</v>
      </c>
      <c r="G58">
        <v>2</v>
      </c>
      <c r="H58">
        <v>5.74</v>
      </c>
      <c r="I58" t="s">
        <v>809</v>
      </c>
      <c r="J58" t="s">
        <v>812</v>
      </c>
      <c r="K58" t="s">
        <v>813</v>
      </c>
      <c r="M58" t="s">
        <v>814</v>
      </c>
      <c r="N58" t="s">
        <v>815</v>
      </c>
    </row>
    <row r="59" spans="1:14" x14ac:dyDescent="0.2">
      <c r="A59">
        <v>10360</v>
      </c>
      <c r="B59" t="s">
        <v>808</v>
      </c>
      <c r="C59">
        <v>4</v>
      </c>
      <c r="D59" s="19">
        <v>35391</v>
      </c>
      <c r="E59" s="19">
        <v>35419</v>
      </c>
      <c r="F59" s="19">
        <v>35401</v>
      </c>
      <c r="G59">
        <v>3</v>
      </c>
      <c r="H59">
        <v>131.69999999999999</v>
      </c>
      <c r="I59" t="s">
        <v>809</v>
      </c>
      <c r="J59" t="s">
        <v>812</v>
      </c>
      <c r="K59" t="s">
        <v>813</v>
      </c>
      <c r="M59" t="s">
        <v>814</v>
      </c>
      <c r="N59" t="s">
        <v>815</v>
      </c>
    </row>
    <row r="60" spans="1:14" x14ac:dyDescent="0.2">
      <c r="A60">
        <v>10436</v>
      </c>
      <c r="B60" t="s">
        <v>808</v>
      </c>
      <c r="C60">
        <v>3</v>
      </c>
      <c r="D60" s="19">
        <v>35466</v>
      </c>
      <c r="E60" s="19">
        <v>35494</v>
      </c>
      <c r="F60" s="19">
        <v>35472</v>
      </c>
      <c r="G60">
        <v>2</v>
      </c>
      <c r="H60">
        <v>156.66</v>
      </c>
      <c r="I60" t="s">
        <v>809</v>
      </c>
      <c r="J60" t="s">
        <v>812</v>
      </c>
      <c r="K60" t="s">
        <v>813</v>
      </c>
      <c r="M60" t="s">
        <v>814</v>
      </c>
      <c r="N60" t="s">
        <v>815</v>
      </c>
    </row>
    <row r="61" spans="1:14" x14ac:dyDescent="0.2">
      <c r="A61">
        <v>10449</v>
      </c>
      <c r="B61" t="s">
        <v>808</v>
      </c>
      <c r="C61">
        <v>3</v>
      </c>
      <c r="D61" s="19">
        <v>35479</v>
      </c>
      <c r="E61" s="19">
        <v>35507</v>
      </c>
      <c r="F61" s="19">
        <v>35488</v>
      </c>
      <c r="G61">
        <v>2</v>
      </c>
      <c r="H61">
        <v>53.3</v>
      </c>
      <c r="I61" t="s">
        <v>809</v>
      </c>
      <c r="J61" t="s">
        <v>812</v>
      </c>
      <c r="K61" t="s">
        <v>813</v>
      </c>
      <c r="M61" t="s">
        <v>814</v>
      </c>
      <c r="N61" t="s">
        <v>815</v>
      </c>
    </row>
    <row r="62" spans="1:14" x14ac:dyDescent="0.2">
      <c r="A62">
        <v>10559</v>
      </c>
      <c r="B62" t="s">
        <v>808</v>
      </c>
      <c r="C62">
        <v>6</v>
      </c>
      <c r="D62" s="19">
        <v>35586</v>
      </c>
      <c r="E62" s="19">
        <v>35614</v>
      </c>
      <c r="F62" s="19">
        <v>35594</v>
      </c>
      <c r="G62">
        <v>1</v>
      </c>
      <c r="H62">
        <v>8.0500000000000007</v>
      </c>
      <c r="I62" t="s">
        <v>809</v>
      </c>
      <c r="J62" t="s">
        <v>812</v>
      </c>
      <c r="K62" t="s">
        <v>813</v>
      </c>
      <c r="M62" t="s">
        <v>814</v>
      </c>
      <c r="N62" t="s">
        <v>815</v>
      </c>
    </row>
    <row r="63" spans="1:14" x14ac:dyDescent="0.2">
      <c r="A63">
        <v>10566</v>
      </c>
      <c r="B63" t="s">
        <v>808</v>
      </c>
      <c r="C63">
        <v>9</v>
      </c>
      <c r="D63" s="19">
        <v>35593</v>
      </c>
      <c r="E63" s="19">
        <v>35621</v>
      </c>
      <c r="F63" s="19">
        <v>35599</v>
      </c>
      <c r="G63">
        <v>1</v>
      </c>
      <c r="H63">
        <v>88.4</v>
      </c>
      <c r="I63" t="s">
        <v>809</v>
      </c>
      <c r="J63" t="s">
        <v>812</v>
      </c>
      <c r="K63" t="s">
        <v>813</v>
      </c>
      <c r="M63" t="s">
        <v>814</v>
      </c>
      <c r="N63" t="s">
        <v>815</v>
      </c>
    </row>
    <row r="64" spans="1:14" x14ac:dyDescent="0.2">
      <c r="A64">
        <v>10584</v>
      </c>
      <c r="B64" t="s">
        <v>808</v>
      </c>
      <c r="C64">
        <v>4</v>
      </c>
      <c r="D64" s="19">
        <v>35611</v>
      </c>
      <c r="E64" s="19">
        <v>35639</v>
      </c>
      <c r="F64" s="19">
        <v>35615</v>
      </c>
      <c r="G64">
        <v>1</v>
      </c>
      <c r="H64">
        <v>59.14</v>
      </c>
      <c r="I64" t="s">
        <v>809</v>
      </c>
      <c r="J64" t="s">
        <v>812</v>
      </c>
      <c r="K64" t="s">
        <v>813</v>
      </c>
      <c r="M64" t="s">
        <v>814</v>
      </c>
      <c r="N64" t="s">
        <v>815</v>
      </c>
    </row>
    <row r="65" spans="1:14" x14ac:dyDescent="0.2">
      <c r="A65">
        <v>10628</v>
      </c>
      <c r="B65" t="s">
        <v>808</v>
      </c>
      <c r="C65">
        <v>4</v>
      </c>
      <c r="D65" s="19">
        <v>35654</v>
      </c>
      <c r="E65" s="19">
        <v>35682</v>
      </c>
      <c r="F65" s="19">
        <v>35662</v>
      </c>
      <c r="G65">
        <v>3</v>
      </c>
      <c r="H65">
        <v>30.36</v>
      </c>
      <c r="I65" t="s">
        <v>809</v>
      </c>
      <c r="J65" t="s">
        <v>812</v>
      </c>
      <c r="K65" t="s">
        <v>813</v>
      </c>
      <c r="M65" t="s">
        <v>814</v>
      </c>
      <c r="N65" t="s">
        <v>815</v>
      </c>
    </row>
    <row r="66" spans="1:14" x14ac:dyDescent="0.2">
      <c r="A66">
        <v>10679</v>
      </c>
      <c r="B66" t="s">
        <v>808</v>
      </c>
      <c r="C66">
        <v>8</v>
      </c>
      <c r="D66" s="19">
        <v>35696</v>
      </c>
      <c r="E66" s="19">
        <v>35724</v>
      </c>
      <c r="F66" s="19">
        <v>35703</v>
      </c>
      <c r="G66">
        <v>3</v>
      </c>
      <c r="H66">
        <v>27.94</v>
      </c>
      <c r="I66" t="s">
        <v>809</v>
      </c>
      <c r="J66" t="s">
        <v>812</v>
      </c>
      <c r="K66" t="s">
        <v>813</v>
      </c>
      <c r="M66" t="s">
        <v>814</v>
      </c>
      <c r="N66" t="s">
        <v>815</v>
      </c>
    </row>
    <row r="67" spans="1:14" x14ac:dyDescent="0.2">
      <c r="A67">
        <v>10826</v>
      </c>
      <c r="B67" t="s">
        <v>808</v>
      </c>
      <c r="C67">
        <v>6</v>
      </c>
      <c r="D67" s="19">
        <v>35807</v>
      </c>
      <c r="E67" s="19">
        <v>35835</v>
      </c>
      <c r="F67" s="19">
        <v>35832</v>
      </c>
      <c r="G67">
        <v>1</v>
      </c>
      <c r="H67">
        <v>7.09</v>
      </c>
      <c r="I67" t="s">
        <v>809</v>
      </c>
      <c r="J67" t="s">
        <v>812</v>
      </c>
      <c r="K67" t="s">
        <v>813</v>
      </c>
      <c r="M67" t="s">
        <v>814</v>
      </c>
      <c r="N67" t="s">
        <v>815</v>
      </c>
    </row>
    <row r="68" spans="1:14" x14ac:dyDescent="0.2">
      <c r="A68">
        <v>10326</v>
      </c>
      <c r="B68" t="s">
        <v>818</v>
      </c>
      <c r="C68">
        <v>4</v>
      </c>
      <c r="D68" s="19">
        <v>35348</v>
      </c>
      <c r="E68" s="19">
        <v>35376</v>
      </c>
      <c r="F68" s="19">
        <v>35352</v>
      </c>
      <c r="G68">
        <v>2</v>
      </c>
      <c r="H68">
        <v>77.92</v>
      </c>
      <c r="I68" t="s">
        <v>819</v>
      </c>
      <c r="J68" t="s">
        <v>821</v>
      </c>
      <c r="K68" t="s">
        <v>822</v>
      </c>
      <c r="M68" t="s">
        <v>823</v>
      </c>
      <c r="N68" t="s">
        <v>824</v>
      </c>
    </row>
    <row r="69" spans="1:14" x14ac:dyDescent="0.2">
      <c r="A69">
        <v>10801</v>
      </c>
      <c r="B69" t="s">
        <v>818</v>
      </c>
      <c r="C69">
        <v>4</v>
      </c>
      <c r="D69" s="19">
        <v>35793</v>
      </c>
      <c r="E69" s="19">
        <v>35821</v>
      </c>
      <c r="F69" s="19">
        <v>35795</v>
      </c>
      <c r="G69">
        <v>2</v>
      </c>
      <c r="H69">
        <v>97.09</v>
      </c>
      <c r="I69" t="s">
        <v>819</v>
      </c>
      <c r="J69" t="s">
        <v>821</v>
      </c>
      <c r="K69" t="s">
        <v>822</v>
      </c>
      <c r="M69" t="s">
        <v>823</v>
      </c>
      <c r="N69" t="s">
        <v>824</v>
      </c>
    </row>
    <row r="70" spans="1:14" x14ac:dyDescent="0.2">
      <c r="A70">
        <v>10970</v>
      </c>
      <c r="B70" t="s">
        <v>818</v>
      </c>
      <c r="C70">
        <v>9</v>
      </c>
      <c r="D70" s="19">
        <v>35878</v>
      </c>
      <c r="E70" s="19">
        <v>35892</v>
      </c>
      <c r="F70" s="19">
        <v>35909</v>
      </c>
      <c r="G70">
        <v>1</v>
      </c>
      <c r="H70">
        <v>16.16</v>
      </c>
      <c r="I70" t="s">
        <v>819</v>
      </c>
      <c r="J70" t="s">
        <v>821</v>
      </c>
      <c r="K70" t="s">
        <v>822</v>
      </c>
      <c r="M70" t="s">
        <v>823</v>
      </c>
      <c r="N70" t="s">
        <v>824</v>
      </c>
    </row>
    <row r="71" spans="1:14" x14ac:dyDescent="0.2">
      <c r="A71">
        <v>10331</v>
      </c>
      <c r="B71" t="s">
        <v>827</v>
      </c>
      <c r="C71">
        <v>9</v>
      </c>
      <c r="D71" s="19">
        <v>35354</v>
      </c>
      <c r="E71" s="19">
        <v>35396</v>
      </c>
      <c r="F71" s="19">
        <v>35359</v>
      </c>
      <c r="G71">
        <v>1</v>
      </c>
      <c r="H71">
        <v>10.19</v>
      </c>
      <c r="I71" t="s">
        <v>828</v>
      </c>
      <c r="J71" t="s">
        <v>830</v>
      </c>
      <c r="K71" t="s">
        <v>831</v>
      </c>
      <c r="M71" t="s">
        <v>832</v>
      </c>
      <c r="N71" t="s">
        <v>815</v>
      </c>
    </row>
    <row r="72" spans="1:14" x14ac:dyDescent="0.2">
      <c r="A72">
        <v>10340</v>
      </c>
      <c r="B72" t="s">
        <v>827</v>
      </c>
      <c r="C72">
        <v>1</v>
      </c>
      <c r="D72" s="19">
        <v>35367</v>
      </c>
      <c r="E72" s="19">
        <v>35395</v>
      </c>
      <c r="F72" s="19">
        <v>35377</v>
      </c>
      <c r="G72">
        <v>3</v>
      </c>
      <c r="H72">
        <v>166.31</v>
      </c>
      <c r="I72" t="s">
        <v>828</v>
      </c>
      <c r="J72" t="s">
        <v>830</v>
      </c>
      <c r="K72" t="s">
        <v>831</v>
      </c>
      <c r="M72" t="s">
        <v>832</v>
      </c>
      <c r="N72" t="s">
        <v>815</v>
      </c>
    </row>
    <row r="73" spans="1:14" x14ac:dyDescent="0.2">
      <c r="A73">
        <v>10362</v>
      </c>
      <c r="B73" t="s">
        <v>827</v>
      </c>
      <c r="C73">
        <v>3</v>
      </c>
      <c r="D73" s="19">
        <v>35394</v>
      </c>
      <c r="E73" s="19">
        <v>35422</v>
      </c>
      <c r="F73" s="19">
        <v>35397</v>
      </c>
      <c r="G73">
        <v>1</v>
      </c>
      <c r="H73">
        <v>96.04</v>
      </c>
      <c r="I73" t="s">
        <v>828</v>
      </c>
      <c r="J73" t="s">
        <v>830</v>
      </c>
      <c r="K73" t="s">
        <v>831</v>
      </c>
      <c r="M73" t="s">
        <v>832</v>
      </c>
      <c r="N73" t="s">
        <v>815</v>
      </c>
    </row>
    <row r="74" spans="1:14" x14ac:dyDescent="0.2">
      <c r="A74">
        <v>10470</v>
      </c>
      <c r="B74" t="s">
        <v>827</v>
      </c>
      <c r="C74">
        <v>4</v>
      </c>
      <c r="D74" s="19">
        <v>35500</v>
      </c>
      <c r="E74" s="19">
        <v>35528</v>
      </c>
      <c r="F74" s="19">
        <v>35503</v>
      </c>
      <c r="G74">
        <v>2</v>
      </c>
      <c r="H74">
        <v>64.56</v>
      </c>
      <c r="I74" t="s">
        <v>828</v>
      </c>
      <c r="J74" t="s">
        <v>830</v>
      </c>
      <c r="K74" t="s">
        <v>831</v>
      </c>
      <c r="M74" t="s">
        <v>832</v>
      </c>
      <c r="N74" t="s">
        <v>815</v>
      </c>
    </row>
    <row r="75" spans="1:14" x14ac:dyDescent="0.2">
      <c r="A75">
        <v>10511</v>
      </c>
      <c r="B75" t="s">
        <v>827</v>
      </c>
      <c r="C75">
        <v>4</v>
      </c>
      <c r="D75" s="19">
        <v>35538</v>
      </c>
      <c r="E75" s="19">
        <v>35566</v>
      </c>
      <c r="F75" s="19">
        <v>35541</v>
      </c>
      <c r="G75">
        <v>3</v>
      </c>
      <c r="H75">
        <v>350.64</v>
      </c>
      <c r="I75" t="s">
        <v>828</v>
      </c>
      <c r="J75" t="s">
        <v>830</v>
      </c>
      <c r="K75" t="s">
        <v>831</v>
      </c>
      <c r="M75" t="s">
        <v>832</v>
      </c>
      <c r="N75" t="s">
        <v>815</v>
      </c>
    </row>
    <row r="76" spans="1:14" x14ac:dyDescent="0.2">
      <c r="A76">
        <v>10525</v>
      </c>
      <c r="B76" t="s">
        <v>827</v>
      </c>
      <c r="C76">
        <v>1</v>
      </c>
      <c r="D76" s="19">
        <v>35552</v>
      </c>
      <c r="E76" s="19">
        <v>35580</v>
      </c>
      <c r="F76" s="19">
        <v>35573</v>
      </c>
      <c r="G76">
        <v>2</v>
      </c>
      <c r="H76">
        <v>11.06</v>
      </c>
      <c r="I76" t="s">
        <v>828</v>
      </c>
      <c r="J76" t="s">
        <v>830</v>
      </c>
      <c r="K76" t="s">
        <v>831</v>
      </c>
      <c r="M76" t="s">
        <v>832</v>
      </c>
      <c r="N76" t="s">
        <v>815</v>
      </c>
    </row>
    <row r="77" spans="1:14" x14ac:dyDescent="0.2">
      <c r="A77">
        <v>10663</v>
      </c>
      <c r="B77" t="s">
        <v>827</v>
      </c>
      <c r="C77">
        <v>2</v>
      </c>
      <c r="D77" s="19">
        <v>35683</v>
      </c>
      <c r="E77" s="19">
        <v>35697</v>
      </c>
      <c r="F77" s="19">
        <v>35706</v>
      </c>
      <c r="G77">
        <v>2</v>
      </c>
      <c r="H77">
        <v>113.15</v>
      </c>
      <c r="I77" t="s">
        <v>828</v>
      </c>
      <c r="J77" t="s">
        <v>830</v>
      </c>
      <c r="K77" t="s">
        <v>831</v>
      </c>
      <c r="M77" t="s">
        <v>832</v>
      </c>
      <c r="N77" t="s">
        <v>815</v>
      </c>
    </row>
    <row r="78" spans="1:14" x14ac:dyDescent="0.2">
      <c r="A78">
        <v>10715</v>
      </c>
      <c r="B78" t="s">
        <v>827</v>
      </c>
      <c r="C78">
        <v>3</v>
      </c>
      <c r="D78" s="19">
        <v>35726</v>
      </c>
      <c r="E78" s="19">
        <v>35740</v>
      </c>
      <c r="F78" s="19">
        <v>35732</v>
      </c>
      <c r="G78">
        <v>1</v>
      </c>
      <c r="H78">
        <v>63.2</v>
      </c>
      <c r="I78" t="s">
        <v>828</v>
      </c>
      <c r="J78" t="s">
        <v>830</v>
      </c>
      <c r="K78" t="s">
        <v>831</v>
      </c>
      <c r="M78" t="s">
        <v>832</v>
      </c>
      <c r="N78" t="s">
        <v>815</v>
      </c>
    </row>
    <row r="79" spans="1:14" x14ac:dyDescent="0.2">
      <c r="A79">
        <v>10730</v>
      </c>
      <c r="B79" t="s">
        <v>827</v>
      </c>
      <c r="C79">
        <v>5</v>
      </c>
      <c r="D79" s="19">
        <v>35739</v>
      </c>
      <c r="E79" s="19">
        <v>35767</v>
      </c>
      <c r="F79" s="19">
        <v>35748</v>
      </c>
      <c r="G79">
        <v>1</v>
      </c>
      <c r="H79">
        <v>20.12</v>
      </c>
      <c r="I79" t="s">
        <v>828</v>
      </c>
      <c r="J79" t="s">
        <v>830</v>
      </c>
      <c r="K79" t="s">
        <v>831</v>
      </c>
      <c r="M79" t="s">
        <v>832</v>
      </c>
      <c r="N79" t="s">
        <v>815</v>
      </c>
    </row>
    <row r="80" spans="1:14" x14ac:dyDescent="0.2">
      <c r="A80">
        <v>10732</v>
      </c>
      <c r="B80" t="s">
        <v>827</v>
      </c>
      <c r="C80">
        <v>3</v>
      </c>
      <c r="D80" s="19">
        <v>35740</v>
      </c>
      <c r="E80" s="19">
        <v>35768</v>
      </c>
      <c r="F80" s="19">
        <v>35741</v>
      </c>
      <c r="G80">
        <v>1</v>
      </c>
      <c r="H80">
        <v>16.97</v>
      </c>
      <c r="I80" t="s">
        <v>828</v>
      </c>
      <c r="J80" t="s">
        <v>830</v>
      </c>
      <c r="K80" t="s">
        <v>831</v>
      </c>
      <c r="M80" t="s">
        <v>832</v>
      </c>
      <c r="N80" t="s">
        <v>815</v>
      </c>
    </row>
    <row r="81" spans="1:14" x14ac:dyDescent="0.2">
      <c r="A81">
        <v>10755</v>
      </c>
      <c r="B81" t="s">
        <v>827</v>
      </c>
      <c r="C81">
        <v>4</v>
      </c>
      <c r="D81" s="19">
        <v>35760</v>
      </c>
      <c r="E81" s="19">
        <v>35788</v>
      </c>
      <c r="F81" s="19">
        <v>35762</v>
      </c>
      <c r="G81">
        <v>2</v>
      </c>
      <c r="H81">
        <v>16.71</v>
      </c>
      <c r="I81" t="s">
        <v>828</v>
      </c>
      <c r="J81" t="s">
        <v>830</v>
      </c>
      <c r="K81" t="s">
        <v>831</v>
      </c>
      <c r="M81" t="s">
        <v>832</v>
      </c>
      <c r="N81" t="s">
        <v>815</v>
      </c>
    </row>
    <row r="82" spans="1:14" x14ac:dyDescent="0.2">
      <c r="A82">
        <v>10827</v>
      </c>
      <c r="B82" t="s">
        <v>827</v>
      </c>
      <c r="C82">
        <v>1</v>
      </c>
      <c r="D82" s="19">
        <v>35807</v>
      </c>
      <c r="E82" s="19">
        <v>35821</v>
      </c>
      <c r="F82" s="19">
        <v>35832</v>
      </c>
      <c r="G82">
        <v>2</v>
      </c>
      <c r="H82">
        <v>63.54</v>
      </c>
      <c r="I82" t="s">
        <v>828</v>
      </c>
      <c r="J82" t="s">
        <v>830</v>
      </c>
      <c r="K82" t="s">
        <v>831</v>
      </c>
      <c r="M82" t="s">
        <v>832</v>
      </c>
      <c r="N82" t="s">
        <v>815</v>
      </c>
    </row>
    <row r="83" spans="1:14" x14ac:dyDescent="0.2">
      <c r="A83">
        <v>10871</v>
      </c>
      <c r="B83" t="s">
        <v>827</v>
      </c>
      <c r="C83">
        <v>9</v>
      </c>
      <c r="D83" s="19">
        <v>35831</v>
      </c>
      <c r="E83" s="19">
        <v>35859</v>
      </c>
      <c r="F83" s="19">
        <v>35836</v>
      </c>
      <c r="G83">
        <v>2</v>
      </c>
      <c r="H83">
        <v>112.27</v>
      </c>
      <c r="I83" t="s">
        <v>828</v>
      </c>
      <c r="J83" t="s">
        <v>830</v>
      </c>
      <c r="K83" t="s">
        <v>831</v>
      </c>
      <c r="M83" t="s">
        <v>832</v>
      </c>
      <c r="N83" t="s">
        <v>815</v>
      </c>
    </row>
    <row r="84" spans="1:14" x14ac:dyDescent="0.2">
      <c r="A84">
        <v>10876</v>
      </c>
      <c r="B84" t="s">
        <v>827</v>
      </c>
      <c r="C84">
        <v>7</v>
      </c>
      <c r="D84" s="19">
        <v>35835</v>
      </c>
      <c r="E84" s="19">
        <v>35863</v>
      </c>
      <c r="F84" s="19">
        <v>35838</v>
      </c>
      <c r="G84">
        <v>3</v>
      </c>
      <c r="H84">
        <v>60.42</v>
      </c>
      <c r="I84" t="s">
        <v>828</v>
      </c>
      <c r="J84" t="s">
        <v>830</v>
      </c>
      <c r="K84" t="s">
        <v>831</v>
      </c>
      <c r="M84" t="s">
        <v>832</v>
      </c>
      <c r="N84" t="s">
        <v>815</v>
      </c>
    </row>
    <row r="85" spans="1:14" x14ac:dyDescent="0.2">
      <c r="A85">
        <v>10932</v>
      </c>
      <c r="B85" t="s">
        <v>827</v>
      </c>
      <c r="C85">
        <v>8</v>
      </c>
      <c r="D85" s="19">
        <v>35860</v>
      </c>
      <c r="E85" s="19">
        <v>35888</v>
      </c>
      <c r="F85" s="19">
        <v>35878</v>
      </c>
      <c r="G85">
        <v>1</v>
      </c>
      <c r="H85">
        <v>134.63999999999999</v>
      </c>
      <c r="I85" t="s">
        <v>828</v>
      </c>
      <c r="J85" t="s">
        <v>830</v>
      </c>
      <c r="K85" t="s">
        <v>831</v>
      </c>
      <c r="M85" t="s">
        <v>832</v>
      </c>
      <c r="N85" t="s">
        <v>815</v>
      </c>
    </row>
    <row r="86" spans="1:14" x14ac:dyDescent="0.2">
      <c r="A86">
        <v>10940</v>
      </c>
      <c r="B86" t="s">
        <v>827</v>
      </c>
      <c r="C86">
        <v>8</v>
      </c>
      <c r="D86" s="19">
        <v>35865</v>
      </c>
      <c r="E86" s="19">
        <v>35893</v>
      </c>
      <c r="F86" s="19">
        <v>35877</v>
      </c>
      <c r="G86">
        <v>3</v>
      </c>
      <c r="H86">
        <v>19.77</v>
      </c>
      <c r="I86" t="s">
        <v>828</v>
      </c>
      <c r="J86" t="s">
        <v>830</v>
      </c>
      <c r="K86" t="s">
        <v>831</v>
      </c>
      <c r="M86" t="s">
        <v>832</v>
      </c>
      <c r="N86" t="s">
        <v>815</v>
      </c>
    </row>
    <row r="87" spans="1:14" x14ac:dyDescent="0.2">
      <c r="A87">
        <v>11076</v>
      </c>
      <c r="B87" t="s">
        <v>827</v>
      </c>
      <c r="C87">
        <v>4</v>
      </c>
      <c r="D87" s="19">
        <v>35921</v>
      </c>
      <c r="E87" s="19">
        <v>35949</v>
      </c>
      <c r="F87" s="19"/>
      <c r="G87">
        <v>2</v>
      </c>
      <c r="H87">
        <v>38.28</v>
      </c>
      <c r="I87" t="s">
        <v>828</v>
      </c>
      <c r="J87" t="s">
        <v>830</v>
      </c>
      <c r="K87" t="s">
        <v>831</v>
      </c>
      <c r="M87" t="s">
        <v>832</v>
      </c>
      <c r="N87" t="s">
        <v>815</v>
      </c>
    </row>
    <row r="88" spans="1:14" x14ac:dyDescent="0.2">
      <c r="A88">
        <v>10389</v>
      </c>
      <c r="B88" t="s">
        <v>835</v>
      </c>
      <c r="C88">
        <v>4</v>
      </c>
      <c r="D88" s="19">
        <v>35419</v>
      </c>
      <c r="E88" s="19">
        <v>35447</v>
      </c>
      <c r="F88" s="19">
        <v>35423</v>
      </c>
      <c r="G88">
        <v>2</v>
      </c>
      <c r="H88">
        <v>47.42</v>
      </c>
      <c r="I88" t="s">
        <v>836</v>
      </c>
      <c r="J88" t="s">
        <v>839</v>
      </c>
      <c r="K88" t="s">
        <v>840</v>
      </c>
      <c r="L88" t="s">
        <v>841</v>
      </c>
      <c r="M88" t="s">
        <v>842</v>
      </c>
      <c r="N88" t="s">
        <v>843</v>
      </c>
    </row>
    <row r="89" spans="1:14" x14ac:dyDescent="0.2">
      <c r="A89">
        <v>10410</v>
      </c>
      <c r="B89" t="s">
        <v>835</v>
      </c>
      <c r="C89">
        <v>3</v>
      </c>
      <c r="D89" s="19">
        <v>35440</v>
      </c>
      <c r="E89" s="19">
        <v>35468</v>
      </c>
      <c r="F89" s="19">
        <v>35445</v>
      </c>
      <c r="G89">
        <v>3</v>
      </c>
      <c r="H89">
        <v>2.4</v>
      </c>
      <c r="I89" t="s">
        <v>836</v>
      </c>
      <c r="J89" t="s">
        <v>839</v>
      </c>
      <c r="K89" t="s">
        <v>840</v>
      </c>
      <c r="L89" t="s">
        <v>841</v>
      </c>
      <c r="M89" t="s">
        <v>842</v>
      </c>
      <c r="N89" t="s">
        <v>843</v>
      </c>
    </row>
    <row r="90" spans="1:14" x14ac:dyDescent="0.2">
      <c r="A90">
        <v>10411</v>
      </c>
      <c r="B90" t="s">
        <v>835</v>
      </c>
      <c r="C90">
        <v>9</v>
      </c>
      <c r="D90" s="19">
        <v>35440</v>
      </c>
      <c r="E90" s="19">
        <v>35468</v>
      </c>
      <c r="F90" s="19">
        <v>35451</v>
      </c>
      <c r="G90">
        <v>3</v>
      </c>
      <c r="H90">
        <v>23.65</v>
      </c>
      <c r="I90" t="s">
        <v>836</v>
      </c>
      <c r="J90" t="s">
        <v>839</v>
      </c>
      <c r="K90" t="s">
        <v>840</v>
      </c>
      <c r="L90" t="s">
        <v>841</v>
      </c>
      <c r="M90" t="s">
        <v>842</v>
      </c>
      <c r="N90" t="s">
        <v>843</v>
      </c>
    </row>
    <row r="91" spans="1:14" x14ac:dyDescent="0.2">
      <c r="A91">
        <v>10431</v>
      </c>
      <c r="B91" t="s">
        <v>835</v>
      </c>
      <c r="C91">
        <v>4</v>
      </c>
      <c r="D91" s="19">
        <v>35460</v>
      </c>
      <c r="E91" s="19">
        <v>35474</v>
      </c>
      <c r="F91" s="19">
        <v>35468</v>
      </c>
      <c r="G91">
        <v>2</v>
      </c>
      <c r="H91">
        <v>44.17</v>
      </c>
      <c r="I91" t="s">
        <v>836</v>
      </c>
      <c r="J91" t="s">
        <v>839</v>
      </c>
      <c r="K91" t="s">
        <v>840</v>
      </c>
      <c r="L91" t="s">
        <v>841</v>
      </c>
      <c r="M91" t="s">
        <v>842</v>
      </c>
      <c r="N91" t="s">
        <v>843</v>
      </c>
    </row>
    <row r="92" spans="1:14" x14ac:dyDescent="0.2">
      <c r="A92">
        <v>10492</v>
      </c>
      <c r="B92" t="s">
        <v>835</v>
      </c>
      <c r="C92">
        <v>3</v>
      </c>
      <c r="D92" s="19">
        <v>35521</v>
      </c>
      <c r="E92" s="19">
        <v>35549</v>
      </c>
      <c r="F92" s="19">
        <v>35531</v>
      </c>
      <c r="G92">
        <v>1</v>
      </c>
      <c r="H92">
        <v>62.89</v>
      </c>
      <c r="I92" t="s">
        <v>836</v>
      </c>
      <c r="J92" t="s">
        <v>839</v>
      </c>
      <c r="K92" t="s">
        <v>840</v>
      </c>
      <c r="L92" t="s">
        <v>841</v>
      </c>
      <c r="M92" t="s">
        <v>842</v>
      </c>
      <c r="N92" t="s">
        <v>843</v>
      </c>
    </row>
    <row r="93" spans="1:14" x14ac:dyDescent="0.2">
      <c r="A93">
        <v>10742</v>
      </c>
      <c r="B93" t="s">
        <v>835</v>
      </c>
      <c r="C93">
        <v>3</v>
      </c>
      <c r="D93" s="19">
        <v>35748</v>
      </c>
      <c r="E93" s="19">
        <v>35776</v>
      </c>
      <c r="F93" s="19">
        <v>35752</v>
      </c>
      <c r="G93">
        <v>3</v>
      </c>
      <c r="H93">
        <v>243.73</v>
      </c>
      <c r="I93" t="s">
        <v>836</v>
      </c>
      <c r="J93" t="s">
        <v>839</v>
      </c>
      <c r="K93" t="s">
        <v>840</v>
      </c>
      <c r="L93" t="s">
        <v>841</v>
      </c>
      <c r="M93" t="s">
        <v>842</v>
      </c>
      <c r="N93" t="s">
        <v>843</v>
      </c>
    </row>
    <row r="94" spans="1:14" x14ac:dyDescent="0.2">
      <c r="A94">
        <v>10918</v>
      </c>
      <c r="B94" t="s">
        <v>835</v>
      </c>
      <c r="C94">
        <v>3</v>
      </c>
      <c r="D94" s="19">
        <v>35856</v>
      </c>
      <c r="E94" s="19">
        <v>35884</v>
      </c>
      <c r="F94" s="19">
        <v>35865</v>
      </c>
      <c r="G94">
        <v>3</v>
      </c>
      <c r="H94">
        <v>48.83</v>
      </c>
      <c r="I94" t="s">
        <v>836</v>
      </c>
      <c r="J94" t="s">
        <v>839</v>
      </c>
      <c r="K94" t="s">
        <v>840</v>
      </c>
      <c r="L94" t="s">
        <v>841</v>
      </c>
      <c r="M94" t="s">
        <v>842</v>
      </c>
      <c r="N94" t="s">
        <v>843</v>
      </c>
    </row>
    <row r="95" spans="1:14" x14ac:dyDescent="0.2">
      <c r="A95">
        <v>10944</v>
      </c>
      <c r="B95" t="s">
        <v>835</v>
      </c>
      <c r="C95">
        <v>6</v>
      </c>
      <c r="D95" s="19">
        <v>35866</v>
      </c>
      <c r="E95" s="19">
        <v>35880</v>
      </c>
      <c r="F95" s="19">
        <v>35867</v>
      </c>
      <c r="G95">
        <v>3</v>
      </c>
      <c r="H95">
        <v>52.92</v>
      </c>
      <c r="I95" t="s">
        <v>836</v>
      </c>
      <c r="J95" t="s">
        <v>839</v>
      </c>
      <c r="K95" t="s">
        <v>840</v>
      </c>
      <c r="L95" t="s">
        <v>841</v>
      </c>
      <c r="M95" t="s">
        <v>842</v>
      </c>
      <c r="N95" t="s">
        <v>843</v>
      </c>
    </row>
    <row r="96" spans="1:14" x14ac:dyDescent="0.2">
      <c r="A96">
        <v>10949</v>
      </c>
      <c r="B96" t="s">
        <v>835</v>
      </c>
      <c r="C96">
        <v>2</v>
      </c>
      <c r="D96" s="19">
        <v>35867</v>
      </c>
      <c r="E96" s="19">
        <v>35895</v>
      </c>
      <c r="F96" s="19">
        <v>35871</v>
      </c>
      <c r="G96">
        <v>3</v>
      </c>
      <c r="H96">
        <v>74.44</v>
      </c>
      <c r="I96" t="s">
        <v>836</v>
      </c>
      <c r="J96" t="s">
        <v>839</v>
      </c>
      <c r="K96" t="s">
        <v>840</v>
      </c>
      <c r="L96" t="s">
        <v>841</v>
      </c>
      <c r="M96" t="s">
        <v>842</v>
      </c>
      <c r="N96" t="s">
        <v>843</v>
      </c>
    </row>
    <row r="97" spans="1:14" x14ac:dyDescent="0.2">
      <c r="A97">
        <v>10975</v>
      </c>
      <c r="B97" t="s">
        <v>835</v>
      </c>
      <c r="C97">
        <v>1</v>
      </c>
      <c r="D97" s="19">
        <v>35879</v>
      </c>
      <c r="E97" s="19">
        <v>35907</v>
      </c>
      <c r="F97" s="19">
        <v>35881</v>
      </c>
      <c r="G97">
        <v>3</v>
      </c>
      <c r="H97">
        <v>32.270000000000003</v>
      </c>
      <c r="I97" t="s">
        <v>836</v>
      </c>
      <c r="J97" t="s">
        <v>839</v>
      </c>
      <c r="K97" t="s">
        <v>840</v>
      </c>
      <c r="L97" t="s">
        <v>841</v>
      </c>
      <c r="M97" t="s">
        <v>842</v>
      </c>
      <c r="N97" t="s">
        <v>843</v>
      </c>
    </row>
    <row r="98" spans="1:14" x14ac:dyDescent="0.2">
      <c r="A98">
        <v>10982</v>
      </c>
      <c r="B98" t="s">
        <v>835</v>
      </c>
      <c r="C98">
        <v>2</v>
      </c>
      <c r="D98" s="19">
        <v>35881</v>
      </c>
      <c r="E98" s="19">
        <v>35909</v>
      </c>
      <c r="F98" s="19">
        <v>35893</v>
      </c>
      <c r="G98">
        <v>1</v>
      </c>
      <c r="H98">
        <v>14.01</v>
      </c>
      <c r="I98" t="s">
        <v>836</v>
      </c>
      <c r="J98" t="s">
        <v>839</v>
      </c>
      <c r="K98" t="s">
        <v>840</v>
      </c>
      <c r="L98" t="s">
        <v>841</v>
      </c>
      <c r="M98" t="s">
        <v>842</v>
      </c>
      <c r="N98" t="s">
        <v>843</v>
      </c>
    </row>
    <row r="99" spans="1:14" x14ac:dyDescent="0.2">
      <c r="A99">
        <v>11027</v>
      </c>
      <c r="B99" t="s">
        <v>835</v>
      </c>
      <c r="C99">
        <v>1</v>
      </c>
      <c r="D99" s="19">
        <v>35901</v>
      </c>
      <c r="E99" s="19">
        <v>35929</v>
      </c>
      <c r="F99" s="19">
        <v>35905</v>
      </c>
      <c r="G99">
        <v>1</v>
      </c>
      <c r="H99">
        <v>52.52</v>
      </c>
      <c r="I99" t="s">
        <v>836</v>
      </c>
      <c r="J99" t="s">
        <v>839</v>
      </c>
      <c r="K99" t="s">
        <v>840</v>
      </c>
      <c r="L99" t="s">
        <v>841</v>
      </c>
      <c r="M99" t="s">
        <v>842</v>
      </c>
      <c r="N99" t="s">
        <v>843</v>
      </c>
    </row>
    <row r="100" spans="1:14" x14ac:dyDescent="0.2">
      <c r="A100">
        <v>11045</v>
      </c>
      <c r="B100" t="s">
        <v>835</v>
      </c>
      <c r="C100">
        <v>6</v>
      </c>
      <c r="D100" s="19">
        <v>35908</v>
      </c>
      <c r="E100" s="19">
        <v>35936</v>
      </c>
      <c r="F100" s="19"/>
      <c r="G100">
        <v>2</v>
      </c>
      <c r="H100">
        <v>70.58</v>
      </c>
      <c r="I100" t="s">
        <v>836</v>
      </c>
      <c r="J100" t="s">
        <v>839</v>
      </c>
      <c r="K100" t="s">
        <v>840</v>
      </c>
      <c r="L100" t="s">
        <v>841</v>
      </c>
      <c r="M100" t="s">
        <v>842</v>
      </c>
      <c r="N100" t="s">
        <v>843</v>
      </c>
    </row>
    <row r="101" spans="1:14" x14ac:dyDescent="0.2">
      <c r="A101">
        <v>11048</v>
      </c>
      <c r="B101" t="s">
        <v>835</v>
      </c>
      <c r="C101">
        <v>7</v>
      </c>
      <c r="D101" s="19">
        <v>35909</v>
      </c>
      <c r="E101" s="19">
        <v>35937</v>
      </c>
      <c r="F101" s="19">
        <v>35915</v>
      </c>
      <c r="G101">
        <v>3</v>
      </c>
      <c r="H101">
        <v>24.12</v>
      </c>
      <c r="I101" t="s">
        <v>836</v>
      </c>
      <c r="J101" t="s">
        <v>839</v>
      </c>
      <c r="K101" t="s">
        <v>840</v>
      </c>
      <c r="L101" t="s">
        <v>841</v>
      </c>
      <c r="M101" t="s">
        <v>842</v>
      </c>
      <c r="N101" t="s">
        <v>843</v>
      </c>
    </row>
    <row r="102" spans="1:14" x14ac:dyDescent="0.2">
      <c r="A102">
        <v>10289</v>
      </c>
      <c r="B102" t="s">
        <v>846</v>
      </c>
      <c r="C102">
        <v>7</v>
      </c>
      <c r="D102" s="19">
        <v>35303</v>
      </c>
      <c r="E102" s="19">
        <v>35331</v>
      </c>
      <c r="F102" s="19">
        <v>35305</v>
      </c>
      <c r="G102">
        <v>3</v>
      </c>
      <c r="H102">
        <v>22.77</v>
      </c>
      <c r="I102" t="s">
        <v>847</v>
      </c>
      <c r="J102" t="s">
        <v>849</v>
      </c>
      <c r="K102" t="s">
        <v>785</v>
      </c>
      <c r="M102" t="s">
        <v>850</v>
      </c>
      <c r="N102" t="s">
        <v>787</v>
      </c>
    </row>
    <row r="103" spans="1:14" x14ac:dyDescent="0.2">
      <c r="A103">
        <v>10471</v>
      </c>
      <c r="B103" t="s">
        <v>846</v>
      </c>
      <c r="C103">
        <v>2</v>
      </c>
      <c r="D103" s="19">
        <v>35500</v>
      </c>
      <c r="E103" s="19">
        <v>35528</v>
      </c>
      <c r="F103" s="19">
        <v>35507</v>
      </c>
      <c r="G103">
        <v>3</v>
      </c>
      <c r="H103">
        <v>45.59</v>
      </c>
      <c r="I103" t="s">
        <v>847</v>
      </c>
      <c r="J103" t="s">
        <v>849</v>
      </c>
      <c r="K103" t="s">
        <v>785</v>
      </c>
      <c r="M103" t="s">
        <v>850</v>
      </c>
      <c r="N103" t="s">
        <v>787</v>
      </c>
    </row>
    <row r="104" spans="1:14" x14ac:dyDescent="0.2">
      <c r="A104">
        <v>10484</v>
      </c>
      <c r="B104" t="s">
        <v>846</v>
      </c>
      <c r="C104">
        <v>3</v>
      </c>
      <c r="D104" s="19">
        <v>35513</v>
      </c>
      <c r="E104" s="19">
        <v>35541</v>
      </c>
      <c r="F104" s="19">
        <v>35521</v>
      </c>
      <c r="G104">
        <v>3</v>
      </c>
      <c r="H104">
        <v>6.88</v>
      </c>
      <c r="I104" t="s">
        <v>847</v>
      </c>
      <c r="J104" t="s">
        <v>849</v>
      </c>
      <c r="K104" t="s">
        <v>785</v>
      </c>
      <c r="M104" t="s">
        <v>850</v>
      </c>
      <c r="N104" t="s">
        <v>787</v>
      </c>
    </row>
    <row r="105" spans="1:14" x14ac:dyDescent="0.2">
      <c r="A105">
        <v>10538</v>
      </c>
      <c r="B105" t="s">
        <v>846</v>
      </c>
      <c r="C105">
        <v>9</v>
      </c>
      <c r="D105" s="19">
        <v>35565</v>
      </c>
      <c r="E105" s="19">
        <v>35593</v>
      </c>
      <c r="F105" s="19">
        <v>35566</v>
      </c>
      <c r="G105">
        <v>3</v>
      </c>
      <c r="H105">
        <v>4.87</v>
      </c>
      <c r="I105" t="s">
        <v>847</v>
      </c>
      <c r="J105" t="s">
        <v>849</v>
      </c>
      <c r="K105" t="s">
        <v>785</v>
      </c>
      <c r="M105" t="s">
        <v>850</v>
      </c>
      <c r="N105" t="s">
        <v>787</v>
      </c>
    </row>
    <row r="106" spans="1:14" x14ac:dyDescent="0.2">
      <c r="A106">
        <v>10539</v>
      </c>
      <c r="B106" t="s">
        <v>846</v>
      </c>
      <c r="C106">
        <v>6</v>
      </c>
      <c r="D106" s="19">
        <v>35566</v>
      </c>
      <c r="E106" s="19">
        <v>35594</v>
      </c>
      <c r="F106" s="19">
        <v>35573</v>
      </c>
      <c r="G106">
        <v>3</v>
      </c>
      <c r="H106">
        <v>12.36</v>
      </c>
      <c r="I106" t="s">
        <v>847</v>
      </c>
      <c r="J106" t="s">
        <v>849</v>
      </c>
      <c r="K106" t="s">
        <v>785</v>
      </c>
      <c r="M106" t="s">
        <v>850</v>
      </c>
      <c r="N106" t="s">
        <v>787</v>
      </c>
    </row>
    <row r="107" spans="1:14" x14ac:dyDescent="0.2">
      <c r="A107">
        <v>10578</v>
      </c>
      <c r="B107" t="s">
        <v>846</v>
      </c>
      <c r="C107">
        <v>4</v>
      </c>
      <c r="D107" s="19">
        <v>35605</v>
      </c>
      <c r="E107" s="19">
        <v>35633</v>
      </c>
      <c r="F107" s="19">
        <v>35636</v>
      </c>
      <c r="G107">
        <v>3</v>
      </c>
      <c r="H107">
        <v>29.6</v>
      </c>
      <c r="I107" t="s">
        <v>847</v>
      </c>
      <c r="J107" t="s">
        <v>849</v>
      </c>
      <c r="K107" t="s">
        <v>785</v>
      </c>
      <c r="M107" t="s">
        <v>850</v>
      </c>
      <c r="N107" t="s">
        <v>787</v>
      </c>
    </row>
    <row r="108" spans="1:14" x14ac:dyDescent="0.2">
      <c r="A108">
        <v>10599</v>
      </c>
      <c r="B108" t="s">
        <v>846</v>
      </c>
      <c r="C108">
        <v>6</v>
      </c>
      <c r="D108" s="19">
        <v>35626</v>
      </c>
      <c r="E108" s="19">
        <v>35668</v>
      </c>
      <c r="F108" s="19">
        <v>35632</v>
      </c>
      <c r="G108">
        <v>3</v>
      </c>
      <c r="H108">
        <v>29.98</v>
      </c>
      <c r="I108" t="s">
        <v>847</v>
      </c>
      <c r="J108" t="s">
        <v>849</v>
      </c>
      <c r="K108" t="s">
        <v>785</v>
      </c>
      <c r="M108" t="s">
        <v>850</v>
      </c>
      <c r="N108" t="s">
        <v>787</v>
      </c>
    </row>
    <row r="109" spans="1:14" x14ac:dyDescent="0.2">
      <c r="A109">
        <v>10943</v>
      </c>
      <c r="B109" t="s">
        <v>846</v>
      </c>
      <c r="C109">
        <v>4</v>
      </c>
      <c r="D109" s="19">
        <v>35865</v>
      </c>
      <c r="E109" s="19">
        <v>35893</v>
      </c>
      <c r="F109" s="19">
        <v>35873</v>
      </c>
      <c r="G109">
        <v>2</v>
      </c>
      <c r="H109">
        <v>2.17</v>
      </c>
      <c r="I109" t="s">
        <v>847</v>
      </c>
      <c r="J109" t="s">
        <v>849</v>
      </c>
      <c r="K109" t="s">
        <v>785</v>
      </c>
      <c r="M109" t="s">
        <v>850</v>
      </c>
      <c r="N109" t="s">
        <v>787</v>
      </c>
    </row>
    <row r="110" spans="1:14" x14ac:dyDescent="0.2">
      <c r="A110">
        <v>10947</v>
      </c>
      <c r="B110" t="s">
        <v>846</v>
      </c>
      <c r="C110">
        <v>3</v>
      </c>
      <c r="D110" s="19">
        <v>35867</v>
      </c>
      <c r="E110" s="19">
        <v>35895</v>
      </c>
      <c r="F110" s="19">
        <v>35870</v>
      </c>
      <c r="G110">
        <v>2</v>
      </c>
      <c r="H110">
        <v>3.26</v>
      </c>
      <c r="I110" t="s">
        <v>847</v>
      </c>
      <c r="J110" t="s">
        <v>849</v>
      </c>
      <c r="K110" t="s">
        <v>785</v>
      </c>
      <c r="M110" t="s">
        <v>850</v>
      </c>
      <c r="N110" t="s">
        <v>787</v>
      </c>
    </row>
    <row r="111" spans="1:14" x14ac:dyDescent="0.2">
      <c r="A111">
        <v>11023</v>
      </c>
      <c r="B111" t="s">
        <v>846</v>
      </c>
      <c r="C111">
        <v>1</v>
      </c>
      <c r="D111" s="19">
        <v>35899</v>
      </c>
      <c r="E111" s="19">
        <v>35913</v>
      </c>
      <c r="F111" s="19">
        <v>35909</v>
      </c>
      <c r="G111">
        <v>2</v>
      </c>
      <c r="H111">
        <v>123.83</v>
      </c>
      <c r="I111" t="s">
        <v>847</v>
      </c>
      <c r="J111" t="s">
        <v>849</v>
      </c>
      <c r="K111" t="s">
        <v>785</v>
      </c>
      <c r="M111" t="s">
        <v>850</v>
      </c>
      <c r="N111" t="s">
        <v>787</v>
      </c>
    </row>
    <row r="112" spans="1:14" x14ac:dyDescent="0.2">
      <c r="A112">
        <v>10521</v>
      </c>
      <c r="B112" t="s">
        <v>852</v>
      </c>
      <c r="C112">
        <v>8</v>
      </c>
      <c r="D112" s="19">
        <v>35549</v>
      </c>
      <c r="E112" s="19">
        <v>35577</v>
      </c>
      <c r="F112" s="19">
        <v>35552</v>
      </c>
      <c r="G112">
        <v>2</v>
      </c>
      <c r="H112">
        <v>17.22</v>
      </c>
      <c r="I112" t="s">
        <v>853</v>
      </c>
      <c r="J112" t="s">
        <v>856</v>
      </c>
      <c r="K112" t="s">
        <v>857</v>
      </c>
      <c r="M112" t="s">
        <v>858</v>
      </c>
      <c r="N112" t="s">
        <v>859</v>
      </c>
    </row>
    <row r="113" spans="1:14" x14ac:dyDescent="0.2">
      <c r="A113">
        <v>10782</v>
      </c>
      <c r="B113" t="s">
        <v>852</v>
      </c>
      <c r="C113">
        <v>9</v>
      </c>
      <c r="D113" s="19">
        <v>35781</v>
      </c>
      <c r="E113" s="19">
        <v>35809</v>
      </c>
      <c r="F113" s="19">
        <v>35786</v>
      </c>
      <c r="G113">
        <v>3</v>
      </c>
      <c r="H113">
        <v>1.1000000000000001</v>
      </c>
      <c r="I113" t="s">
        <v>853</v>
      </c>
      <c r="J113" t="s">
        <v>856</v>
      </c>
      <c r="K113" t="s">
        <v>857</v>
      </c>
      <c r="M113" t="s">
        <v>858</v>
      </c>
      <c r="N113" t="s">
        <v>859</v>
      </c>
    </row>
    <row r="114" spans="1:14" x14ac:dyDescent="0.2">
      <c r="A114">
        <v>10819</v>
      </c>
      <c r="B114" t="s">
        <v>852</v>
      </c>
      <c r="C114">
        <v>2</v>
      </c>
      <c r="D114" s="19">
        <v>35802</v>
      </c>
      <c r="E114" s="19">
        <v>35830</v>
      </c>
      <c r="F114" s="19">
        <v>35811</v>
      </c>
      <c r="G114">
        <v>3</v>
      </c>
      <c r="H114">
        <v>19.760000000000002</v>
      </c>
      <c r="I114" t="s">
        <v>853</v>
      </c>
      <c r="J114" t="s">
        <v>856</v>
      </c>
      <c r="K114" t="s">
        <v>857</v>
      </c>
      <c r="M114" t="s">
        <v>858</v>
      </c>
      <c r="N114" t="s">
        <v>859</v>
      </c>
    </row>
    <row r="115" spans="1:14" x14ac:dyDescent="0.2">
      <c r="A115">
        <v>10881</v>
      </c>
      <c r="B115" t="s">
        <v>852</v>
      </c>
      <c r="C115">
        <v>4</v>
      </c>
      <c r="D115" s="19">
        <v>35837</v>
      </c>
      <c r="E115" s="19">
        <v>35865</v>
      </c>
      <c r="F115" s="19">
        <v>35844</v>
      </c>
      <c r="G115">
        <v>1</v>
      </c>
      <c r="H115">
        <v>2.84</v>
      </c>
      <c r="I115" t="s">
        <v>853</v>
      </c>
      <c r="J115" t="s">
        <v>856</v>
      </c>
      <c r="K115" t="s">
        <v>857</v>
      </c>
      <c r="M115" t="s">
        <v>858</v>
      </c>
      <c r="N115" t="s">
        <v>859</v>
      </c>
    </row>
    <row r="116" spans="1:14" x14ac:dyDescent="0.2">
      <c r="A116">
        <v>10937</v>
      </c>
      <c r="B116" t="s">
        <v>852</v>
      </c>
      <c r="C116">
        <v>7</v>
      </c>
      <c r="D116" s="19">
        <v>35864</v>
      </c>
      <c r="E116" s="19">
        <v>35878</v>
      </c>
      <c r="F116" s="19">
        <v>35867</v>
      </c>
      <c r="G116">
        <v>3</v>
      </c>
      <c r="H116">
        <v>31.51</v>
      </c>
      <c r="I116" t="s">
        <v>853</v>
      </c>
      <c r="J116" t="s">
        <v>856</v>
      </c>
      <c r="K116" t="s">
        <v>857</v>
      </c>
      <c r="M116" t="s">
        <v>858</v>
      </c>
      <c r="N116" t="s">
        <v>859</v>
      </c>
    </row>
    <row r="117" spans="1:14" x14ac:dyDescent="0.2">
      <c r="A117">
        <v>11054</v>
      </c>
      <c r="B117" t="s">
        <v>852</v>
      </c>
      <c r="C117">
        <v>8</v>
      </c>
      <c r="D117" s="19">
        <v>35913</v>
      </c>
      <c r="E117" s="19">
        <v>35941</v>
      </c>
      <c r="F117" s="19"/>
      <c r="G117">
        <v>1</v>
      </c>
      <c r="H117">
        <v>0.33</v>
      </c>
      <c r="I117" t="s">
        <v>853</v>
      </c>
      <c r="J117" t="s">
        <v>856</v>
      </c>
      <c r="K117" t="s">
        <v>857</v>
      </c>
      <c r="M117" t="s">
        <v>858</v>
      </c>
      <c r="N117" t="s">
        <v>859</v>
      </c>
    </row>
    <row r="118" spans="1:14" x14ac:dyDescent="0.2">
      <c r="A118">
        <v>10259</v>
      </c>
      <c r="B118" t="s">
        <v>862</v>
      </c>
      <c r="C118">
        <v>4</v>
      </c>
      <c r="D118" s="19">
        <v>35264</v>
      </c>
      <c r="E118" s="19">
        <v>35292</v>
      </c>
      <c r="F118" s="19">
        <v>35271</v>
      </c>
      <c r="G118">
        <v>3</v>
      </c>
      <c r="H118">
        <v>3.25</v>
      </c>
      <c r="I118" t="s">
        <v>863</v>
      </c>
      <c r="J118" t="s">
        <v>865</v>
      </c>
      <c r="K118" t="s">
        <v>770</v>
      </c>
      <c r="M118" t="s">
        <v>866</v>
      </c>
      <c r="N118" t="s">
        <v>772</v>
      </c>
    </row>
    <row r="119" spans="1:14" x14ac:dyDescent="0.2">
      <c r="A119">
        <v>10254</v>
      </c>
      <c r="B119" t="s">
        <v>869</v>
      </c>
      <c r="C119">
        <v>5</v>
      </c>
      <c r="D119" s="19">
        <v>35257</v>
      </c>
      <c r="E119" s="19">
        <v>35285</v>
      </c>
      <c r="F119" s="19">
        <v>35269</v>
      </c>
      <c r="G119">
        <v>2</v>
      </c>
      <c r="H119">
        <v>22.98</v>
      </c>
      <c r="I119" t="s">
        <v>870</v>
      </c>
      <c r="J119" t="s">
        <v>1495</v>
      </c>
      <c r="K119" t="s">
        <v>873</v>
      </c>
      <c r="M119" t="s">
        <v>874</v>
      </c>
      <c r="N119" t="s">
        <v>875</v>
      </c>
    </row>
    <row r="120" spans="1:14" x14ac:dyDescent="0.2">
      <c r="A120">
        <v>10370</v>
      </c>
      <c r="B120" t="s">
        <v>869</v>
      </c>
      <c r="C120">
        <v>6</v>
      </c>
      <c r="D120" s="19">
        <v>35402</v>
      </c>
      <c r="E120" s="19">
        <v>35430</v>
      </c>
      <c r="F120" s="19">
        <v>35426</v>
      </c>
      <c r="G120">
        <v>2</v>
      </c>
      <c r="H120">
        <v>1.17</v>
      </c>
      <c r="I120" t="s">
        <v>870</v>
      </c>
      <c r="J120" t="s">
        <v>1495</v>
      </c>
      <c r="K120" t="s">
        <v>873</v>
      </c>
      <c r="M120" t="s">
        <v>874</v>
      </c>
      <c r="N120" t="s">
        <v>875</v>
      </c>
    </row>
    <row r="121" spans="1:14" x14ac:dyDescent="0.2">
      <c r="A121">
        <v>10519</v>
      </c>
      <c r="B121" t="s">
        <v>869</v>
      </c>
      <c r="C121">
        <v>6</v>
      </c>
      <c r="D121" s="19">
        <v>35548</v>
      </c>
      <c r="E121" s="19">
        <v>35576</v>
      </c>
      <c r="F121" s="19">
        <v>35551</v>
      </c>
      <c r="G121">
        <v>3</v>
      </c>
      <c r="H121">
        <v>91.76</v>
      </c>
      <c r="I121" t="s">
        <v>870</v>
      </c>
      <c r="J121" t="s">
        <v>1495</v>
      </c>
      <c r="K121" t="s">
        <v>873</v>
      </c>
      <c r="M121" t="s">
        <v>874</v>
      </c>
      <c r="N121" t="s">
        <v>875</v>
      </c>
    </row>
    <row r="122" spans="1:14" x14ac:dyDescent="0.2">
      <c r="A122">
        <v>10731</v>
      </c>
      <c r="B122" t="s">
        <v>869</v>
      </c>
      <c r="C122">
        <v>7</v>
      </c>
      <c r="D122" s="19">
        <v>35740</v>
      </c>
      <c r="E122" s="19">
        <v>35768</v>
      </c>
      <c r="F122" s="19">
        <v>35748</v>
      </c>
      <c r="G122">
        <v>1</v>
      </c>
      <c r="H122">
        <v>96.65</v>
      </c>
      <c r="I122" t="s">
        <v>870</v>
      </c>
      <c r="J122" t="s">
        <v>1495</v>
      </c>
      <c r="K122" t="s">
        <v>873</v>
      </c>
      <c r="M122" t="s">
        <v>874</v>
      </c>
      <c r="N122" t="s">
        <v>875</v>
      </c>
    </row>
    <row r="123" spans="1:14" x14ac:dyDescent="0.2">
      <c r="A123">
        <v>10746</v>
      </c>
      <c r="B123" t="s">
        <v>869</v>
      </c>
      <c r="C123">
        <v>1</v>
      </c>
      <c r="D123" s="19">
        <v>35753</v>
      </c>
      <c r="E123" s="19">
        <v>35781</v>
      </c>
      <c r="F123" s="19">
        <v>35755</v>
      </c>
      <c r="G123">
        <v>3</v>
      </c>
      <c r="H123">
        <v>31.43</v>
      </c>
      <c r="I123" t="s">
        <v>870</v>
      </c>
      <c r="J123" t="s">
        <v>1495</v>
      </c>
      <c r="K123" t="s">
        <v>873</v>
      </c>
      <c r="M123" t="s">
        <v>874</v>
      </c>
      <c r="N123" t="s">
        <v>875</v>
      </c>
    </row>
    <row r="124" spans="1:14" x14ac:dyDescent="0.2">
      <c r="A124">
        <v>10966</v>
      </c>
      <c r="B124" t="s">
        <v>869</v>
      </c>
      <c r="C124">
        <v>4</v>
      </c>
      <c r="D124" s="19">
        <v>35874</v>
      </c>
      <c r="E124" s="19">
        <v>35902</v>
      </c>
      <c r="F124" s="19">
        <v>35893</v>
      </c>
      <c r="G124">
        <v>1</v>
      </c>
      <c r="H124">
        <v>27.19</v>
      </c>
      <c r="I124" t="s">
        <v>870</v>
      </c>
      <c r="J124" t="s">
        <v>1495</v>
      </c>
      <c r="K124" t="s">
        <v>873</v>
      </c>
      <c r="M124" t="s">
        <v>874</v>
      </c>
      <c r="N124" t="s">
        <v>875</v>
      </c>
    </row>
    <row r="125" spans="1:14" x14ac:dyDescent="0.2">
      <c r="A125">
        <v>11029</v>
      </c>
      <c r="B125" t="s">
        <v>869</v>
      </c>
      <c r="C125">
        <v>4</v>
      </c>
      <c r="D125" s="19">
        <v>35901</v>
      </c>
      <c r="E125" s="19">
        <v>35929</v>
      </c>
      <c r="F125" s="19">
        <v>35912</v>
      </c>
      <c r="G125">
        <v>1</v>
      </c>
      <c r="H125">
        <v>47.84</v>
      </c>
      <c r="I125" t="s">
        <v>870</v>
      </c>
      <c r="J125" t="s">
        <v>1495</v>
      </c>
      <c r="K125" t="s">
        <v>873</v>
      </c>
      <c r="M125" t="s">
        <v>874</v>
      </c>
      <c r="N125" t="s">
        <v>875</v>
      </c>
    </row>
    <row r="126" spans="1:14" x14ac:dyDescent="0.2">
      <c r="A126">
        <v>11041</v>
      </c>
      <c r="B126" t="s">
        <v>869</v>
      </c>
      <c r="C126">
        <v>3</v>
      </c>
      <c r="D126" s="19">
        <v>35907</v>
      </c>
      <c r="E126" s="19">
        <v>35935</v>
      </c>
      <c r="F126" s="19">
        <v>35913</v>
      </c>
      <c r="G126">
        <v>2</v>
      </c>
      <c r="H126">
        <v>48.22</v>
      </c>
      <c r="I126" t="s">
        <v>870</v>
      </c>
      <c r="J126" t="s">
        <v>1495</v>
      </c>
      <c r="K126" t="s">
        <v>873</v>
      </c>
      <c r="M126" t="s">
        <v>874</v>
      </c>
      <c r="N126" t="s">
        <v>875</v>
      </c>
    </row>
    <row r="127" spans="1:14" x14ac:dyDescent="0.2">
      <c r="A127">
        <v>10290</v>
      </c>
      <c r="B127" t="s">
        <v>877</v>
      </c>
      <c r="C127">
        <v>8</v>
      </c>
      <c r="D127" s="19">
        <v>35304</v>
      </c>
      <c r="E127" s="19">
        <v>35332</v>
      </c>
      <c r="F127" s="19">
        <v>35311</v>
      </c>
      <c r="G127">
        <v>1</v>
      </c>
      <c r="H127">
        <v>79.7</v>
      </c>
      <c r="I127" t="s">
        <v>878</v>
      </c>
      <c r="J127" t="s">
        <v>881</v>
      </c>
      <c r="K127" t="s">
        <v>882</v>
      </c>
      <c r="L127" t="s">
        <v>883</v>
      </c>
      <c r="M127" t="s">
        <v>884</v>
      </c>
      <c r="N127" t="s">
        <v>885</v>
      </c>
    </row>
    <row r="128" spans="1:14" x14ac:dyDescent="0.2">
      <c r="A128">
        <v>10466</v>
      </c>
      <c r="B128" t="s">
        <v>877</v>
      </c>
      <c r="C128">
        <v>4</v>
      </c>
      <c r="D128" s="19">
        <v>35495</v>
      </c>
      <c r="E128" s="19">
        <v>35523</v>
      </c>
      <c r="F128" s="19">
        <v>35502</v>
      </c>
      <c r="G128">
        <v>1</v>
      </c>
      <c r="H128">
        <v>11.93</v>
      </c>
      <c r="I128" t="s">
        <v>878</v>
      </c>
      <c r="J128" t="s">
        <v>881</v>
      </c>
      <c r="K128" t="s">
        <v>882</v>
      </c>
      <c r="L128" t="s">
        <v>883</v>
      </c>
      <c r="M128" t="s">
        <v>884</v>
      </c>
      <c r="N128" t="s">
        <v>885</v>
      </c>
    </row>
    <row r="129" spans="1:14" x14ac:dyDescent="0.2">
      <c r="A129">
        <v>10494</v>
      </c>
      <c r="B129" t="s">
        <v>877</v>
      </c>
      <c r="C129">
        <v>4</v>
      </c>
      <c r="D129" s="19">
        <v>35522</v>
      </c>
      <c r="E129" s="19">
        <v>35550</v>
      </c>
      <c r="F129" s="19">
        <v>35529</v>
      </c>
      <c r="G129">
        <v>2</v>
      </c>
      <c r="H129">
        <v>65.989999999999995</v>
      </c>
      <c r="I129" t="s">
        <v>878</v>
      </c>
      <c r="J129" t="s">
        <v>881</v>
      </c>
      <c r="K129" t="s">
        <v>882</v>
      </c>
      <c r="L129" t="s">
        <v>883</v>
      </c>
      <c r="M129" t="s">
        <v>884</v>
      </c>
      <c r="N129" t="s">
        <v>885</v>
      </c>
    </row>
    <row r="130" spans="1:14" x14ac:dyDescent="0.2">
      <c r="A130">
        <v>10969</v>
      </c>
      <c r="B130" t="s">
        <v>877</v>
      </c>
      <c r="C130">
        <v>1</v>
      </c>
      <c r="D130" s="19">
        <v>35877</v>
      </c>
      <c r="E130" s="19">
        <v>35905</v>
      </c>
      <c r="F130" s="19">
        <v>35884</v>
      </c>
      <c r="G130">
        <v>2</v>
      </c>
      <c r="H130">
        <v>0.21</v>
      </c>
      <c r="I130" t="s">
        <v>878</v>
      </c>
      <c r="J130" t="s">
        <v>881</v>
      </c>
      <c r="K130" t="s">
        <v>882</v>
      </c>
      <c r="L130" t="s">
        <v>883</v>
      </c>
      <c r="M130" t="s">
        <v>884</v>
      </c>
      <c r="N130" t="s">
        <v>885</v>
      </c>
    </row>
    <row r="131" spans="1:14" x14ac:dyDescent="0.2">
      <c r="A131">
        <v>11042</v>
      </c>
      <c r="B131" t="s">
        <v>877</v>
      </c>
      <c r="C131">
        <v>2</v>
      </c>
      <c r="D131" s="19">
        <v>35907</v>
      </c>
      <c r="E131" s="19">
        <v>35921</v>
      </c>
      <c r="F131" s="19">
        <v>35916</v>
      </c>
      <c r="G131">
        <v>1</v>
      </c>
      <c r="H131">
        <v>29.99</v>
      </c>
      <c r="I131" t="s">
        <v>878</v>
      </c>
      <c r="J131" t="s">
        <v>881</v>
      </c>
      <c r="K131" t="s">
        <v>882</v>
      </c>
      <c r="L131" t="s">
        <v>883</v>
      </c>
      <c r="M131" t="s">
        <v>884</v>
      </c>
      <c r="N131" t="s">
        <v>885</v>
      </c>
    </row>
    <row r="132" spans="1:14" x14ac:dyDescent="0.2">
      <c r="A132">
        <v>10435</v>
      </c>
      <c r="B132" t="s">
        <v>887</v>
      </c>
      <c r="C132">
        <v>8</v>
      </c>
      <c r="D132" s="19">
        <v>35465</v>
      </c>
      <c r="E132" s="19">
        <v>35507</v>
      </c>
      <c r="F132" s="19">
        <v>35468</v>
      </c>
      <c r="G132">
        <v>2</v>
      </c>
      <c r="H132">
        <v>9.2100000000000009</v>
      </c>
      <c r="I132" t="s">
        <v>888</v>
      </c>
      <c r="J132" t="s">
        <v>890</v>
      </c>
      <c r="K132" t="s">
        <v>785</v>
      </c>
      <c r="M132" t="s">
        <v>891</v>
      </c>
      <c r="N132" t="s">
        <v>787</v>
      </c>
    </row>
    <row r="133" spans="1:14" x14ac:dyDescent="0.2">
      <c r="A133">
        <v>10462</v>
      </c>
      <c r="B133" t="s">
        <v>887</v>
      </c>
      <c r="C133">
        <v>2</v>
      </c>
      <c r="D133" s="19">
        <v>35492</v>
      </c>
      <c r="E133" s="19">
        <v>35520</v>
      </c>
      <c r="F133" s="19">
        <v>35507</v>
      </c>
      <c r="G133">
        <v>1</v>
      </c>
      <c r="H133">
        <v>6.17</v>
      </c>
      <c r="I133" t="s">
        <v>888</v>
      </c>
      <c r="J133" t="s">
        <v>890</v>
      </c>
      <c r="K133" t="s">
        <v>785</v>
      </c>
      <c r="M133" t="s">
        <v>891</v>
      </c>
      <c r="N133" t="s">
        <v>787</v>
      </c>
    </row>
    <row r="134" spans="1:14" x14ac:dyDescent="0.2">
      <c r="A134">
        <v>10848</v>
      </c>
      <c r="B134" t="s">
        <v>887</v>
      </c>
      <c r="C134">
        <v>7</v>
      </c>
      <c r="D134" s="19">
        <v>35818</v>
      </c>
      <c r="E134" s="19">
        <v>35846</v>
      </c>
      <c r="F134" s="19">
        <v>35824</v>
      </c>
      <c r="G134">
        <v>2</v>
      </c>
      <c r="H134">
        <v>38.24</v>
      </c>
      <c r="I134" t="s">
        <v>888</v>
      </c>
      <c r="J134" t="s">
        <v>890</v>
      </c>
      <c r="K134" t="s">
        <v>785</v>
      </c>
      <c r="M134" t="s">
        <v>891</v>
      </c>
      <c r="N134" t="s">
        <v>787</v>
      </c>
    </row>
    <row r="135" spans="1:14" x14ac:dyDescent="0.2">
      <c r="A135">
        <v>10363</v>
      </c>
      <c r="B135" t="s">
        <v>894</v>
      </c>
      <c r="C135">
        <v>4</v>
      </c>
      <c r="D135" s="19">
        <v>35395</v>
      </c>
      <c r="E135" s="19">
        <v>35423</v>
      </c>
      <c r="F135" s="19">
        <v>35403</v>
      </c>
      <c r="G135">
        <v>3</v>
      </c>
      <c r="H135">
        <v>30.54</v>
      </c>
      <c r="I135" t="s">
        <v>895</v>
      </c>
      <c r="J135" t="s">
        <v>897</v>
      </c>
      <c r="K135" t="s">
        <v>898</v>
      </c>
      <c r="M135" t="s">
        <v>899</v>
      </c>
      <c r="N135" t="s">
        <v>762</v>
      </c>
    </row>
    <row r="136" spans="1:14" x14ac:dyDescent="0.2">
      <c r="A136">
        <v>10391</v>
      </c>
      <c r="B136" t="s">
        <v>894</v>
      </c>
      <c r="C136">
        <v>3</v>
      </c>
      <c r="D136" s="19">
        <v>35422</v>
      </c>
      <c r="E136" s="19">
        <v>35450</v>
      </c>
      <c r="F136" s="19">
        <v>35430</v>
      </c>
      <c r="G136">
        <v>3</v>
      </c>
      <c r="H136">
        <v>5.45</v>
      </c>
      <c r="I136" t="s">
        <v>895</v>
      </c>
      <c r="J136" t="s">
        <v>897</v>
      </c>
      <c r="K136" t="s">
        <v>898</v>
      </c>
      <c r="M136" t="s">
        <v>899</v>
      </c>
      <c r="N136" t="s">
        <v>762</v>
      </c>
    </row>
    <row r="137" spans="1:14" x14ac:dyDescent="0.2">
      <c r="A137">
        <v>10797</v>
      </c>
      <c r="B137" t="s">
        <v>894</v>
      </c>
      <c r="C137">
        <v>7</v>
      </c>
      <c r="D137" s="19">
        <v>35789</v>
      </c>
      <c r="E137" s="19">
        <v>35817</v>
      </c>
      <c r="F137" s="19">
        <v>35800</v>
      </c>
      <c r="G137">
        <v>2</v>
      </c>
      <c r="H137">
        <v>33.35</v>
      </c>
      <c r="I137" t="s">
        <v>895</v>
      </c>
      <c r="J137" t="s">
        <v>897</v>
      </c>
      <c r="K137" t="s">
        <v>898</v>
      </c>
      <c r="M137" t="s">
        <v>899</v>
      </c>
      <c r="N137" t="s">
        <v>762</v>
      </c>
    </row>
    <row r="138" spans="1:14" x14ac:dyDescent="0.2">
      <c r="A138">
        <v>10825</v>
      </c>
      <c r="B138" t="s">
        <v>894</v>
      </c>
      <c r="C138">
        <v>1</v>
      </c>
      <c r="D138" s="19">
        <v>35804</v>
      </c>
      <c r="E138" s="19">
        <v>35832</v>
      </c>
      <c r="F138" s="19">
        <v>35809</v>
      </c>
      <c r="G138">
        <v>1</v>
      </c>
      <c r="H138">
        <v>79.25</v>
      </c>
      <c r="I138" t="s">
        <v>895</v>
      </c>
      <c r="J138" t="s">
        <v>897</v>
      </c>
      <c r="K138" t="s">
        <v>898</v>
      </c>
      <c r="M138" t="s">
        <v>899</v>
      </c>
      <c r="N138" t="s">
        <v>762</v>
      </c>
    </row>
    <row r="139" spans="1:14" x14ac:dyDescent="0.2">
      <c r="A139">
        <v>11036</v>
      </c>
      <c r="B139" t="s">
        <v>894</v>
      </c>
      <c r="C139">
        <v>8</v>
      </c>
      <c r="D139" s="19">
        <v>35905</v>
      </c>
      <c r="E139" s="19">
        <v>35933</v>
      </c>
      <c r="F139" s="19">
        <v>35907</v>
      </c>
      <c r="G139">
        <v>3</v>
      </c>
      <c r="H139">
        <v>149.47</v>
      </c>
      <c r="I139" t="s">
        <v>895</v>
      </c>
      <c r="J139" t="s">
        <v>897</v>
      </c>
      <c r="K139" t="s">
        <v>898</v>
      </c>
      <c r="M139" t="s">
        <v>899</v>
      </c>
      <c r="N139" t="s">
        <v>762</v>
      </c>
    </row>
    <row r="140" spans="1:14" x14ac:dyDescent="0.2">
      <c r="A140">
        <v>11067</v>
      </c>
      <c r="B140" t="s">
        <v>894</v>
      </c>
      <c r="C140">
        <v>1</v>
      </c>
      <c r="D140" s="19">
        <v>35919</v>
      </c>
      <c r="E140" s="19">
        <v>35933</v>
      </c>
      <c r="F140" s="19">
        <v>35921</v>
      </c>
      <c r="G140">
        <v>2</v>
      </c>
      <c r="H140">
        <v>7.98</v>
      </c>
      <c r="I140" t="s">
        <v>895</v>
      </c>
      <c r="J140" t="s">
        <v>897</v>
      </c>
      <c r="K140" t="s">
        <v>898</v>
      </c>
      <c r="M140" t="s">
        <v>899</v>
      </c>
      <c r="N140" t="s">
        <v>762</v>
      </c>
    </row>
    <row r="141" spans="1:14" x14ac:dyDescent="0.2">
      <c r="A141">
        <v>10311</v>
      </c>
      <c r="B141" t="s">
        <v>902</v>
      </c>
      <c r="C141">
        <v>1</v>
      </c>
      <c r="D141" s="19">
        <v>35328</v>
      </c>
      <c r="E141" s="19">
        <v>35342</v>
      </c>
      <c r="F141" s="19">
        <v>35334</v>
      </c>
      <c r="G141">
        <v>3</v>
      </c>
      <c r="H141">
        <v>24.69</v>
      </c>
      <c r="I141" t="s">
        <v>903</v>
      </c>
      <c r="J141" t="s">
        <v>905</v>
      </c>
      <c r="K141" t="s">
        <v>906</v>
      </c>
      <c r="M141" t="s">
        <v>907</v>
      </c>
      <c r="N141" t="s">
        <v>815</v>
      </c>
    </row>
    <row r="142" spans="1:14" x14ac:dyDescent="0.2">
      <c r="A142">
        <v>10609</v>
      </c>
      <c r="B142" t="s">
        <v>902</v>
      </c>
      <c r="C142">
        <v>7</v>
      </c>
      <c r="D142" s="19">
        <v>35635</v>
      </c>
      <c r="E142" s="19">
        <v>35663</v>
      </c>
      <c r="F142" s="19">
        <v>35641</v>
      </c>
      <c r="G142">
        <v>2</v>
      </c>
      <c r="H142">
        <v>1.85</v>
      </c>
      <c r="I142" t="s">
        <v>903</v>
      </c>
      <c r="J142" t="s">
        <v>905</v>
      </c>
      <c r="K142" t="s">
        <v>906</v>
      </c>
      <c r="M142" t="s">
        <v>907</v>
      </c>
      <c r="N142" t="s">
        <v>815</v>
      </c>
    </row>
    <row r="143" spans="1:14" x14ac:dyDescent="0.2">
      <c r="A143">
        <v>10683</v>
      </c>
      <c r="B143" t="s">
        <v>902</v>
      </c>
      <c r="C143">
        <v>2</v>
      </c>
      <c r="D143" s="19">
        <v>35699</v>
      </c>
      <c r="E143" s="19">
        <v>35727</v>
      </c>
      <c r="F143" s="19">
        <v>35704</v>
      </c>
      <c r="G143">
        <v>1</v>
      </c>
      <c r="H143">
        <v>4.4000000000000004</v>
      </c>
      <c r="I143" t="s">
        <v>903</v>
      </c>
      <c r="J143" t="s">
        <v>905</v>
      </c>
      <c r="K143" t="s">
        <v>906</v>
      </c>
      <c r="M143" t="s">
        <v>907</v>
      </c>
      <c r="N143" t="s">
        <v>815</v>
      </c>
    </row>
    <row r="144" spans="1:14" x14ac:dyDescent="0.2">
      <c r="A144">
        <v>10890</v>
      </c>
      <c r="B144" t="s">
        <v>902</v>
      </c>
      <c r="C144">
        <v>7</v>
      </c>
      <c r="D144" s="19">
        <v>35842</v>
      </c>
      <c r="E144" s="19">
        <v>35870</v>
      </c>
      <c r="F144" s="19">
        <v>35844</v>
      </c>
      <c r="G144">
        <v>1</v>
      </c>
      <c r="H144">
        <v>32.76</v>
      </c>
      <c r="I144" t="s">
        <v>903</v>
      </c>
      <c r="J144" t="s">
        <v>905</v>
      </c>
      <c r="K144" t="s">
        <v>906</v>
      </c>
      <c r="M144" t="s">
        <v>907</v>
      </c>
      <c r="N144" t="s">
        <v>815</v>
      </c>
    </row>
    <row r="145" spans="1:14" x14ac:dyDescent="0.2">
      <c r="A145">
        <v>10364</v>
      </c>
      <c r="B145" t="s">
        <v>910</v>
      </c>
      <c r="C145">
        <v>1</v>
      </c>
      <c r="D145" s="19">
        <v>35395</v>
      </c>
      <c r="E145" s="19">
        <v>35437</v>
      </c>
      <c r="F145" s="19">
        <v>35403</v>
      </c>
      <c r="G145">
        <v>1</v>
      </c>
      <c r="H145">
        <v>71.97</v>
      </c>
      <c r="I145" t="s">
        <v>911</v>
      </c>
      <c r="J145" t="s">
        <v>913</v>
      </c>
      <c r="K145" t="s">
        <v>785</v>
      </c>
      <c r="M145" t="s">
        <v>914</v>
      </c>
      <c r="N145" t="s">
        <v>787</v>
      </c>
    </row>
    <row r="146" spans="1:14" x14ac:dyDescent="0.2">
      <c r="A146">
        <v>10400</v>
      </c>
      <c r="B146" t="s">
        <v>910</v>
      </c>
      <c r="C146">
        <v>1</v>
      </c>
      <c r="D146" s="19">
        <v>35431</v>
      </c>
      <c r="E146" s="19">
        <v>35459</v>
      </c>
      <c r="F146" s="19">
        <v>35446</v>
      </c>
      <c r="G146">
        <v>3</v>
      </c>
      <c r="H146">
        <v>83.93</v>
      </c>
      <c r="I146" t="s">
        <v>911</v>
      </c>
      <c r="J146" t="s">
        <v>913</v>
      </c>
      <c r="K146" t="s">
        <v>785</v>
      </c>
      <c r="M146" t="s">
        <v>914</v>
      </c>
      <c r="N146" t="s">
        <v>787</v>
      </c>
    </row>
    <row r="147" spans="1:14" x14ac:dyDescent="0.2">
      <c r="A147">
        <v>10532</v>
      </c>
      <c r="B147" t="s">
        <v>910</v>
      </c>
      <c r="C147">
        <v>7</v>
      </c>
      <c r="D147" s="19">
        <v>35559</v>
      </c>
      <c r="E147" s="19">
        <v>35587</v>
      </c>
      <c r="F147" s="19">
        <v>35562</v>
      </c>
      <c r="G147">
        <v>3</v>
      </c>
      <c r="H147">
        <v>74.459999999999994</v>
      </c>
      <c r="I147" t="s">
        <v>911</v>
      </c>
      <c r="J147" t="s">
        <v>913</v>
      </c>
      <c r="K147" t="s">
        <v>785</v>
      </c>
      <c r="M147" t="s">
        <v>914</v>
      </c>
      <c r="N147" t="s">
        <v>787</v>
      </c>
    </row>
    <row r="148" spans="1:14" x14ac:dyDescent="0.2">
      <c r="A148">
        <v>10726</v>
      </c>
      <c r="B148" t="s">
        <v>910</v>
      </c>
      <c r="C148">
        <v>4</v>
      </c>
      <c r="D148" s="19">
        <v>35737</v>
      </c>
      <c r="E148" s="19">
        <v>35751</v>
      </c>
      <c r="F148" s="19">
        <v>35769</v>
      </c>
      <c r="G148">
        <v>1</v>
      </c>
      <c r="H148">
        <v>16.559999999999999</v>
      </c>
      <c r="I148" t="s">
        <v>911</v>
      </c>
      <c r="J148" t="s">
        <v>913</v>
      </c>
      <c r="K148" t="s">
        <v>785</v>
      </c>
      <c r="M148" t="s">
        <v>914</v>
      </c>
      <c r="N148" t="s">
        <v>787</v>
      </c>
    </row>
    <row r="149" spans="1:14" x14ac:dyDescent="0.2">
      <c r="A149">
        <v>10987</v>
      </c>
      <c r="B149" t="s">
        <v>910</v>
      </c>
      <c r="C149">
        <v>8</v>
      </c>
      <c r="D149" s="19">
        <v>35885</v>
      </c>
      <c r="E149" s="19">
        <v>35913</v>
      </c>
      <c r="F149" s="19">
        <v>35891</v>
      </c>
      <c r="G149">
        <v>1</v>
      </c>
      <c r="H149">
        <v>185.48</v>
      </c>
      <c r="I149" t="s">
        <v>911</v>
      </c>
      <c r="J149" t="s">
        <v>913</v>
      </c>
      <c r="K149" t="s">
        <v>785</v>
      </c>
      <c r="M149" t="s">
        <v>914</v>
      </c>
      <c r="N149" t="s">
        <v>787</v>
      </c>
    </row>
    <row r="150" spans="1:14" x14ac:dyDescent="0.2">
      <c r="A150">
        <v>11024</v>
      </c>
      <c r="B150" t="s">
        <v>910</v>
      </c>
      <c r="C150">
        <v>4</v>
      </c>
      <c r="D150" s="19">
        <v>35900</v>
      </c>
      <c r="E150" s="19">
        <v>35928</v>
      </c>
      <c r="F150" s="19">
        <v>35905</v>
      </c>
      <c r="G150">
        <v>1</v>
      </c>
      <c r="H150">
        <v>74.36</v>
      </c>
      <c r="I150" t="s">
        <v>911</v>
      </c>
      <c r="J150" t="s">
        <v>913</v>
      </c>
      <c r="K150" t="s">
        <v>785</v>
      </c>
      <c r="M150" t="s">
        <v>914</v>
      </c>
      <c r="N150" t="s">
        <v>787</v>
      </c>
    </row>
    <row r="151" spans="1:14" x14ac:dyDescent="0.2">
      <c r="A151">
        <v>11047</v>
      </c>
      <c r="B151" t="s">
        <v>910</v>
      </c>
      <c r="C151">
        <v>7</v>
      </c>
      <c r="D151" s="19">
        <v>35909</v>
      </c>
      <c r="E151" s="19">
        <v>35937</v>
      </c>
      <c r="F151" s="19">
        <v>35916</v>
      </c>
      <c r="G151">
        <v>3</v>
      </c>
      <c r="H151">
        <v>46.62</v>
      </c>
      <c r="I151" t="s">
        <v>911</v>
      </c>
      <c r="J151" t="s">
        <v>913</v>
      </c>
      <c r="K151" t="s">
        <v>785</v>
      </c>
      <c r="M151" t="s">
        <v>914</v>
      </c>
      <c r="N151" t="s">
        <v>787</v>
      </c>
    </row>
    <row r="152" spans="1:14" x14ac:dyDescent="0.2">
      <c r="A152">
        <v>11056</v>
      </c>
      <c r="B152" t="s">
        <v>910</v>
      </c>
      <c r="C152">
        <v>8</v>
      </c>
      <c r="D152" s="19">
        <v>35913</v>
      </c>
      <c r="E152" s="19">
        <v>35927</v>
      </c>
      <c r="F152" s="19">
        <v>35916</v>
      </c>
      <c r="G152">
        <v>2</v>
      </c>
      <c r="H152">
        <v>278.95999999999998</v>
      </c>
      <c r="I152" t="s">
        <v>911</v>
      </c>
      <c r="J152" t="s">
        <v>913</v>
      </c>
      <c r="K152" t="s">
        <v>785</v>
      </c>
      <c r="M152" t="s">
        <v>914</v>
      </c>
      <c r="N152" t="s">
        <v>787</v>
      </c>
    </row>
    <row r="153" spans="1:14" x14ac:dyDescent="0.2">
      <c r="A153">
        <v>10258</v>
      </c>
      <c r="B153" t="s">
        <v>917</v>
      </c>
      <c r="C153">
        <v>1</v>
      </c>
      <c r="D153" s="19">
        <v>35263</v>
      </c>
      <c r="E153" s="19">
        <v>35291</v>
      </c>
      <c r="F153" s="19">
        <v>35269</v>
      </c>
      <c r="G153">
        <v>1</v>
      </c>
      <c r="H153">
        <v>140.51</v>
      </c>
      <c r="I153" t="s">
        <v>918</v>
      </c>
      <c r="J153" t="s">
        <v>921</v>
      </c>
      <c r="K153" t="s">
        <v>922</v>
      </c>
      <c r="M153" t="s">
        <v>923</v>
      </c>
      <c r="N153" t="s">
        <v>924</v>
      </c>
    </row>
    <row r="154" spans="1:14" x14ac:dyDescent="0.2">
      <c r="A154">
        <v>10263</v>
      </c>
      <c r="B154" t="s">
        <v>917</v>
      </c>
      <c r="C154">
        <v>9</v>
      </c>
      <c r="D154" s="19">
        <v>35269</v>
      </c>
      <c r="E154" s="19">
        <v>35297</v>
      </c>
      <c r="F154" s="19">
        <v>35277</v>
      </c>
      <c r="G154">
        <v>3</v>
      </c>
      <c r="H154">
        <v>146.06</v>
      </c>
      <c r="I154" t="s">
        <v>918</v>
      </c>
      <c r="J154" t="s">
        <v>921</v>
      </c>
      <c r="K154" t="s">
        <v>922</v>
      </c>
      <c r="M154" t="s">
        <v>923</v>
      </c>
      <c r="N154" t="s">
        <v>924</v>
      </c>
    </row>
    <row r="155" spans="1:14" x14ac:dyDescent="0.2">
      <c r="A155">
        <v>10351</v>
      </c>
      <c r="B155" t="s">
        <v>917</v>
      </c>
      <c r="C155">
        <v>1</v>
      </c>
      <c r="D155" s="19">
        <v>35380</v>
      </c>
      <c r="E155" s="19">
        <v>35408</v>
      </c>
      <c r="F155" s="19">
        <v>35389</v>
      </c>
      <c r="G155">
        <v>1</v>
      </c>
      <c r="H155">
        <v>162.33000000000001</v>
      </c>
      <c r="I155" t="s">
        <v>918</v>
      </c>
      <c r="J155" t="s">
        <v>921</v>
      </c>
      <c r="K155" t="s">
        <v>922</v>
      </c>
      <c r="M155" t="s">
        <v>923</v>
      </c>
      <c r="N155" t="s">
        <v>924</v>
      </c>
    </row>
    <row r="156" spans="1:14" x14ac:dyDescent="0.2">
      <c r="A156">
        <v>10368</v>
      </c>
      <c r="B156" t="s">
        <v>917</v>
      </c>
      <c r="C156">
        <v>2</v>
      </c>
      <c r="D156" s="19">
        <v>35398</v>
      </c>
      <c r="E156" s="19">
        <v>35426</v>
      </c>
      <c r="F156" s="19">
        <v>35401</v>
      </c>
      <c r="G156">
        <v>2</v>
      </c>
      <c r="H156">
        <v>101.95</v>
      </c>
      <c r="I156" t="s">
        <v>918</v>
      </c>
      <c r="J156" t="s">
        <v>921</v>
      </c>
      <c r="K156" t="s">
        <v>922</v>
      </c>
      <c r="M156" t="s">
        <v>923</v>
      </c>
      <c r="N156" t="s">
        <v>924</v>
      </c>
    </row>
    <row r="157" spans="1:14" x14ac:dyDescent="0.2">
      <c r="A157">
        <v>10382</v>
      </c>
      <c r="B157" t="s">
        <v>917</v>
      </c>
      <c r="C157">
        <v>4</v>
      </c>
      <c r="D157" s="19">
        <v>35412</v>
      </c>
      <c r="E157" s="19">
        <v>35440</v>
      </c>
      <c r="F157" s="19">
        <v>35415</v>
      </c>
      <c r="G157">
        <v>1</v>
      </c>
      <c r="H157">
        <v>94.77</v>
      </c>
      <c r="I157" t="s">
        <v>918</v>
      </c>
      <c r="J157" t="s">
        <v>921</v>
      </c>
      <c r="K157" t="s">
        <v>922</v>
      </c>
      <c r="M157" t="s">
        <v>923</v>
      </c>
      <c r="N157" t="s">
        <v>924</v>
      </c>
    </row>
    <row r="158" spans="1:14" x14ac:dyDescent="0.2">
      <c r="A158">
        <v>10390</v>
      </c>
      <c r="B158" t="s">
        <v>917</v>
      </c>
      <c r="C158">
        <v>6</v>
      </c>
      <c r="D158" s="19">
        <v>35422</v>
      </c>
      <c r="E158" s="19">
        <v>35450</v>
      </c>
      <c r="F158" s="19">
        <v>35425</v>
      </c>
      <c r="G158">
        <v>1</v>
      </c>
      <c r="H158">
        <v>126.38</v>
      </c>
      <c r="I158" t="s">
        <v>918</v>
      </c>
      <c r="J158" t="s">
        <v>921</v>
      </c>
      <c r="K158" t="s">
        <v>922</v>
      </c>
      <c r="M158" t="s">
        <v>923</v>
      </c>
      <c r="N158" t="s">
        <v>924</v>
      </c>
    </row>
    <row r="159" spans="1:14" x14ac:dyDescent="0.2">
      <c r="A159">
        <v>10402</v>
      </c>
      <c r="B159" t="s">
        <v>917</v>
      </c>
      <c r="C159">
        <v>8</v>
      </c>
      <c r="D159" s="19">
        <v>35432</v>
      </c>
      <c r="E159" s="19">
        <v>35474</v>
      </c>
      <c r="F159" s="19">
        <v>35440</v>
      </c>
      <c r="G159">
        <v>2</v>
      </c>
      <c r="H159">
        <v>67.88</v>
      </c>
      <c r="I159" t="s">
        <v>918</v>
      </c>
      <c r="J159" t="s">
        <v>921</v>
      </c>
      <c r="K159" t="s">
        <v>922</v>
      </c>
      <c r="M159" t="s">
        <v>923</v>
      </c>
      <c r="N159" t="s">
        <v>924</v>
      </c>
    </row>
    <row r="160" spans="1:14" x14ac:dyDescent="0.2">
      <c r="A160">
        <v>10403</v>
      </c>
      <c r="B160" t="s">
        <v>917</v>
      </c>
      <c r="C160">
        <v>4</v>
      </c>
      <c r="D160" s="19">
        <v>35433</v>
      </c>
      <c r="E160" s="19">
        <v>35461</v>
      </c>
      <c r="F160" s="19">
        <v>35439</v>
      </c>
      <c r="G160">
        <v>3</v>
      </c>
      <c r="H160">
        <v>73.790000000000006</v>
      </c>
      <c r="I160" t="s">
        <v>918</v>
      </c>
      <c r="J160" t="s">
        <v>921</v>
      </c>
      <c r="K160" t="s">
        <v>922</v>
      </c>
      <c r="M160" t="s">
        <v>923</v>
      </c>
      <c r="N160" t="s">
        <v>924</v>
      </c>
    </row>
    <row r="161" spans="1:14" x14ac:dyDescent="0.2">
      <c r="A161">
        <v>10430</v>
      </c>
      <c r="B161" t="s">
        <v>917</v>
      </c>
      <c r="C161">
        <v>4</v>
      </c>
      <c r="D161" s="19">
        <v>35460</v>
      </c>
      <c r="E161" s="19">
        <v>35474</v>
      </c>
      <c r="F161" s="19">
        <v>35464</v>
      </c>
      <c r="G161">
        <v>1</v>
      </c>
      <c r="H161">
        <v>458.78</v>
      </c>
      <c r="I161" t="s">
        <v>918</v>
      </c>
      <c r="J161" t="s">
        <v>921</v>
      </c>
      <c r="K161" t="s">
        <v>922</v>
      </c>
      <c r="M161" t="s">
        <v>923</v>
      </c>
      <c r="N161" t="s">
        <v>924</v>
      </c>
    </row>
    <row r="162" spans="1:14" x14ac:dyDescent="0.2">
      <c r="A162">
        <v>10442</v>
      </c>
      <c r="B162" t="s">
        <v>917</v>
      </c>
      <c r="C162">
        <v>3</v>
      </c>
      <c r="D162" s="19">
        <v>35472</v>
      </c>
      <c r="E162" s="19">
        <v>35500</v>
      </c>
      <c r="F162" s="19">
        <v>35479</v>
      </c>
      <c r="G162">
        <v>2</v>
      </c>
      <c r="H162">
        <v>47.94</v>
      </c>
      <c r="I162" t="s">
        <v>918</v>
      </c>
      <c r="J162" t="s">
        <v>921</v>
      </c>
      <c r="K162" t="s">
        <v>922</v>
      </c>
      <c r="M162" t="s">
        <v>923</v>
      </c>
      <c r="N162" t="s">
        <v>924</v>
      </c>
    </row>
    <row r="163" spans="1:14" x14ac:dyDescent="0.2">
      <c r="A163">
        <v>10514</v>
      </c>
      <c r="B163" t="s">
        <v>917</v>
      </c>
      <c r="C163">
        <v>3</v>
      </c>
      <c r="D163" s="19">
        <v>35542</v>
      </c>
      <c r="E163" s="19">
        <v>35570</v>
      </c>
      <c r="F163" s="19">
        <v>35566</v>
      </c>
      <c r="G163">
        <v>2</v>
      </c>
      <c r="H163">
        <v>789.95</v>
      </c>
      <c r="I163" t="s">
        <v>918</v>
      </c>
      <c r="J163" t="s">
        <v>921</v>
      </c>
      <c r="K163" t="s">
        <v>922</v>
      </c>
      <c r="M163" t="s">
        <v>923</v>
      </c>
      <c r="N163" t="s">
        <v>924</v>
      </c>
    </row>
    <row r="164" spans="1:14" x14ac:dyDescent="0.2">
      <c r="A164">
        <v>10571</v>
      </c>
      <c r="B164" t="s">
        <v>917</v>
      </c>
      <c r="C164">
        <v>8</v>
      </c>
      <c r="D164" s="19">
        <v>35598</v>
      </c>
      <c r="E164" s="19">
        <v>35640</v>
      </c>
      <c r="F164" s="19">
        <v>35615</v>
      </c>
      <c r="G164">
        <v>3</v>
      </c>
      <c r="H164">
        <v>26.06</v>
      </c>
      <c r="I164" t="s">
        <v>918</v>
      </c>
      <c r="J164" t="s">
        <v>921</v>
      </c>
      <c r="K164" t="s">
        <v>922</v>
      </c>
      <c r="M164" t="s">
        <v>923</v>
      </c>
      <c r="N164" t="s">
        <v>924</v>
      </c>
    </row>
    <row r="165" spans="1:14" x14ac:dyDescent="0.2">
      <c r="A165">
        <v>10595</v>
      </c>
      <c r="B165" t="s">
        <v>917</v>
      </c>
      <c r="C165">
        <v>2</v>
      </c>
      <c r="D165" s="19">
        <v>35621</v>
      </c>
      <c r="E165" s="19">
        <v>35649</v>
      </c>
      <c r="F165" s="19">
        <v>35625</v>
      </c>
      <c r="G165">
        <v>1</v>
      </c>
      <c r="H165">
        <v>96.78</v>
      </c>
      <c r="I165" t="s">
        <v>918</v>
      </c>
      <c r="J165" t="s">
        <v>921</v>
      </c>
      <c r="K165" t="s">
        <v>922</v>
      </c>
      <c r="M165" t="s">
        <v>923</v>
      </c>
      <c r="N165" t="s">
        <v>924</v>
      </c>
    </row>
    <row r="166" spans="1:14" x14ac:dyDescent="0.2">
      <c r="A166">
        <v>10633</v>
      </c>
      <c r="B166" t="s">
        <v>917</v>
      </c>
      <c r="C166">
        <v>7</v>
      </c>
      <c r="D166" s="19">
        <v>35657</v>
      </c>
      <c r="E166" s="19">
        <v>35685</v>
      </c>
      <c r="F166" s="19">
        <v>35660</v>
      </c>
      <c r="G166">
        <v>3</v>
      </c>
      <c r="H166">
        <v>477.9</v>
      </c>
      <c r="I166" t="s">
        <v>918</v>
      </c>
      <c r="J166" t="s">
        <v>921</v>
      </c>
      <c r="K166" t="s">
        <v>922</v>
      </c>
      <c r="M166" t="s">
        <v>923</v>
      </c>
      <c r="N166" t="s">
        <v>924</v>
      </c>
    </row>
    <row r="167" spans="1:14" x14ac:dyDescent="0.2">
      <c r="A167">
        <v>10667</v>
      </c>
      <c r="B167" t="s">
        <v>917</v>
      </c>
      <c r="C167">
        <v>7</v>
      </c>
      <c r="D167" s="19">
        <v>35685</v>
      </c>
      <c r="E167" s="19">
        <v>35713</v>
      </c>
      <c r="F167" s="19">
        <v>35692</v>
      </c>
      <c r="G167">
        <v>1</v>
      </c>
      <c r="H167">
        <v>78.09</v>
      </c>
      <c r="I167" t="s">
        <v>918</v>
      </c>
      <c r="J167" t="s">
        <v>921</v>
      </c>
      <c r="K167" t="s">
        <v>922</v>
      </c>
      <c r="M167" t="s">
        <v>923</v>
      </c>
      <c r="N167" t="s">
        <v>924</v>
      </c>
    </row>
    <row r="168" spans="1:14" x14ac:dyDescent="0.2">
      <c r="A168">
        <v>10698</v>
      </c>
      <c r="B168" t="s">
        <v>917</v>
      </c>
      <c r="C168">
        <v>4</v>
      </c>
      <c r="D168" s="19">
        <v>35712</v>
      </c>
      <c r="E168" s="19">
        <v>35740</v>
      </c>
      <c r="F168" s="19">
        <v>35720</v>
      </c>
      <c r="G168">
        <v>1</v>
      </c>
      <c r="H168">
        <v>272.47000000000003</v>
      </c>
      <c r="I168" t="s">
        <v>918</v>
      </c>
      <c r="J168" t="s">
        <v>921</v>
      </c>
      <c r="K168" t="s">
        <v>922</v>
      </c>
      <c r="M168" t="s">
        <v>923</v>
      </c>
      <c r="N168" t="s">
        <v>924</v>
      </c>
    </row>
    <row r="169" spans="1:14" x14ac:dyDescent="0.2">
      <c r="A169">
        <v>10764</v>
      </c>
      <c r="B169" t="s">
        <v>917</v>
      </c>
      <c r="C169">
        <v>6</v>
      </c>
      <c r="D169" s="19">
        <v>35767</v>
      </c>
      <c r="E169" s="19">
        <v>35795</v>
      </c>
      <c r="F169" s="19">
        <v>35772</v>
      </c>
      <c r="G169">
        <v>3</v>
      </c>
      <c r="H169">
        <v>145.44999999999999</v>
      </c>
      <c r="I169" t="s">
        <v>918</v>
      </c>
      <c r="J169" t="s">
        <v>921</v>
      </c>
      <c r="K169" t="s">
        <v>922</v>
      </c>
      <c r="M169" t="s">
        <v>923</v>
      </c>
      <c r="N169" t="s">
        <v>924</v>
      </c>
    </row>
    <row r="170" spans="1:14" x14ac:dyDescent="0.2">
      <c r="A170">
        <v>10771</v>
      </c>
      <c r="B170" t="s">
        <v>917</v>
      </c>
      <c r="C170">
        <v>9</v>
      </c>
      <c r="D170" s="19">
        <v>35774</v>
      </c>
      <c r="E170" s="19">
        <v>35802</v>
      </c>
      <c r="F170" s="19">
        <v>35797</v>
      </c>
      <c r="G170">
        <v>2</v>
      </c>
      <c r="H170">
        <v>11.19</v>
      </c>
      <c r="I170" t="s">
        <v>918</v>
      </c>
      <c r="J170" t="s">
        <v>921</v>
      </c>
      <c r="K170" t="s">
        <v>922</v>
      </c>
      <c r="M170" t="s">
        <v>923</v>
      </c>
      <c r="N170" t="s">
        <v>924</v>
      </c>
    </row>
    <row r="171" spans="1:14" x14ac:dyDescent="0.2">
      <c r="A171">
        <v>10773</v>
      </c>
      <c r="B171" t="s">
        <v>917</v>
      </c>
      <c r="C171">
        <v>1</v>
      </c>
      <c r="D171" s="19">
        <v>35775</v>
      </c>
      <c r="E171" s="19">
        <v>35803</v>
      </c>
      <c r="F171" s="19">
        <v>35780</v>
      </c>
      <c r="G171">
        <v>3</v>
      </c>
      <c r="H171">
        <v>96.43</v>
      </c>
      <c r="I171" t="s">
        <v>918</v>
      </c>
      <c r="J171" t="s">
        <v>921</v>
      </c>
      <c r="K171" t="s">
        <v>922</v>
      </c>
      <c r="M171" t="s">
        <v>923</v>
      </c>
      <c r="N171" t="s">
        <v>924</v>
      </c>
    </row>
    <row r="172" spans="1:14" x14ac:dyDescent="0.2">
      <c r="A172">
        <v>10776</v>
      </c>
      <c r="B172" t="s">
        <v>917</v>
      </c>
      <c r="C172">
        <v>1</v>
      </c>
      <c r="D172" s="19">
        <v>35779</v>
      </c>
      <c r="E172" s="19">
        <v>35807</v>
      </c>
      <c r="F172" s="19">
        <v>35782</v>
      </c>
      <c r="G172">
        <v>3</v>
      </c>
      <c r="H172">
        <v>351.53</v>
      </c>
      <c r="I172" t="s">
        <v>918</v>
      </c>
      <c r="J172" t="s">
        <v>921</v>
      </c>
      <c r="K172" t="s">
        <v>922</v>
      </c>
      <c r="M172" t="s">
        <v>923</v>
      </c>
      <c r="N172" t="s">
        <v>924</v>
      </c>
    </row>
    <row r="173" spans="1:14" x14ac:dyDescent="0.2">
      <c r="A173">
        <v>10795</v>
      </c>
      <c r="B173" t="s">
        <v>917</v>
      </c>
      <c r="C173">
        <v>8</v>
      </c>
      <c r="D173" s="19">
        <v>35788</v>
      </c>
      <c r="E173" s="19">
        <v>35816</v>
      </c>
      <c r="F173" s="19">
        <v>35815</v>
      </c>
      <c r="G173">
        <v>2</v>
      </c>
      <c r="H173">
        <v>126.66</v>
      </c>
      <c r="I173" t="s">
        <v>918</v>
      </c>
      <c r="J173" t="s">
        <v>921</v>
      </c>
      <c r="K173" t="s">
        <v>922</v>
      </c>
      <c r="M173" t="s">
        <v>923</v>
      </c>
      <c r="N173" t="s">
        <v>924</v>
      </c>
    </row>
    <row r="174" spans="1:14" x14ac:dyDescent="0.2">
      <c r="A174">
        <v>10836</v>
      </c>
      <c r="B174" t="s">
        <v>917</v>
      </c>
      <c r="C174">
        <v>7</v>
      </c>
      <c r="D174" s="19">
        <v>35811</v>
      </c>
      <c r="E174" s="19">
        <v>35839</v>
      </c>
      <c r="F174" s="19">
        <v>35816</v>
      </c>
      <c r="G174">
        <v>1</v>
      </c>
      <c r="H174">
        <v>411.88</v>
      </c>
      <c r="I174" t="s">
        <v>918</v>
      </c>
      <c r="J174" t="s">
        <v>921</v>
      </c>
      <c r="K174" t="s">
        <v>922</v>
      </c>
      <c r="M174" t="s">
        <v>923</v>
      </c>
      <c r="N174" t="s">
        <v>924</v>
      </c>
    </row>
    <row r="175" spans="1:14" x14ac:dyDescent="0.2">
      <c r="A175">
        <v>10854</v>
      </c>
      <c r="B175" t="s">
        <v>917</v>
      </c>
      <c r="C175">
        <v>3</v>
      </c>
      <c r="D175" s="19">
        <v>35822</v>
      </c>
      <c r="E175" s="19">
        <v>35850</v>
      </c>
      <c r="F175" s="19">
        <v>35831</v>
      </c>
      <c r="G175">
        <v>2</v>
      </c>
      <c r="H175">
        <v>100.22</v>
      </c>
      <c r="I175" t="s">
        <v>918</v>
      </c>
      <c r="J175" t="s">
        <v>921</v>
      </c>
      <c r="K175" t="s">
        <v>922</v>
      </c>
      <c r="M175" t="s">
        <v>923</v>
      </c>
      <c r="N175" t="s">
        <v>924</v>
      </c>
    </row>
    <row r="176" spans="1:14" x14ac:dyDescent="0.2">
      <c r="A176">
        <v>10895</v>
      </c>
      <c r="B176" t="s">
        <v>917</v>
      </c>
      <c r="C176">
        <v>3</v>
      </c>
      <c r="D176" s="19">
        <v>35844</v>
      </c>
      <c r="E176" s="19">
        <v>35872</v>
      </c>
      <c r="F176" s="19">
        <v>35849</v>
      </c>
      <c r="G176">
        <v>1</v>
      </c>
      <c r="H176">
        <v>162.75</v>
      </c>
      <c r="I176" t="s">
        <v>918</v>
      </c>
      <c r="J176" t="s">
        <v>921</v>
      </c>
      <c r="K176" t="s">
        <v>922</v>
      </c>
      <c r="M176" t="s">
        <v>923</v>
      </c>
      <c r="N176" t="s">
        <v>924</v>
      </c>
    </row>
    <row r="177" spans="1:14" x14ac:dyDescent="0.2">
      <c r="A177">
        <v>10968</v>
      </c>
      <c r="B177" t="s">
        <v>917</v>
      </c>
      <c r="C177">
        <v>1</v>
      </c>
      <c r="D177" s="19">
        <v>35877</v>
      </c>
      <c r="E177" s="19">
        <v>35905</v>
      </c>
      <c r="F177" s="19">
        <v>35886</v>
      </c>
      <c r="G177">
        <v>3</v>
      </c>
      <c r="H177">
        <v>74.599999999999994</v>
      </c>
      <c r="I177" t="s">
        <v>918</v>
      </c>
      <c r="J177" t="s">
        <v>921</v>
      </c>
      <c r="K177" t="s">
        <v>922</v>
      </c>
      <c r="M177" t="s">
        <v>923</v>
      </c>
      <c r="N177" t="s">
        <v>924</v>
      </c>
    </row>
    <row r="178" spans="1:14" x14ac:dyDescent="0.2">
      <c r="A178">
        <v>10979</v>
      </c>
      <c r="B178" t="s">
        <v>917</v>
      </c>
      <c r="C178">
        <v>8</v>
      </c>
      <c r="D178" s="19">
        <v>35880</v>
      </c>
      <c r="E178" s="19">
        <v>35908</v>
      </c>
      <c r="F178" s="19">
        <v>35885</v>
      </c>
      <c r="G178">
        <v>2</v>
      </c>
      <c r="H178">
        <v>353.07</v>
      </c>
      <c r="I178" t="s">
        <v>918</v>
      </c>
      <c r="J178" t="s">
        <v>921</v>
      </c>
      <c r="K178" t="s">
        <v>922</v>
      </c>
      <c r="M178" t="s">
        <v>923</v>
      </c>
      <c r="N178" t="s">
        <v>924</v>
      </c>
    </row>
    <row r="179" spans="1:14" x14ac:dyDescent="0.2">
      <c r="A179">
        <v>10990</v>
      </c>
      <c r="B179" t="s">
        <v>917</v>
      </c>
      <c r="C179">
        <v>2</v>
      </c>
      <c r="D179" s="19">
        <v>35886</v>
      </c>
      <c r="E179" s="19">
        <v>35928</v>
      </c>
      <c r="F179" s="19">
        <v>35892</v>
      </c>
      <c r="G179">
        <v>3</v>
      </c>
      <c r="H179">
        <v>117.61</v>
      </c>
      <c r="I179" t="s">
        <v>918</v>
      </c>
      <c r="J179" t="s">
        <v>921</v>
      </c>
      <c r="K179" t="s">
        <v>922</v>
      </c>
      <c r="M179" t="s">
        <v>923</v>
      </c>
      <c r="N179" t="s">
        <v>924</v>
      </c>
    </row>
    <row r="180" spans="1:14" x14ac:dyDescent="0.2">
      <c r="A180">
        <v>11008</v>
      </c>
      <c r="B180" t="s">
        <v>917</v>
      </c>
      <c r="C180">
        <v>7</v>
      </c>
      <c r="D180" s="19">
        <v>35893</v>
      </c>
      <c r="E180" s="19">
        <v>35921</v>
      </c>
      <c r="F180" s="19"/>
      <c r="G180">
        <v>3</v>
      </c>
      <c r="H180">
        <v>79.459999999999994</v>
      </c>
      <c r="I180" t="s">
        <v>918</v>
      </c>
      <c r="J180" t="s">
        <v>921</v>
      </c>
      <c r="K180" t="s">
        <v>922</v>
      </c>
      <c r="M180" t="s">
        <v>923</v>
      </c>
      <c r="N180" t="s">
        <v>924</v>
      </c>
    </row>
    <row r="181" spans="1:14" x14ac:dyDescent="0.2">
      <c r="A181">
        <v>11017</v>
      </c>
      <c r="B181" t="s">
        <v>917</v>
      </c>
      <c r="C181">
        <v>9</v>
      </c>
      <c r="D181" s="19">
        <v>35898</v>
      </c>
      <c r="E181" s="19">
        <v>35926</v>
      </c>
      <c r="F181" s="19">
        <v>35905</v>
      </c>
      <c r="G181">
        <v>2</v>
      </c>
      <c r="H181">
        <v>754.26</v>
      </c>
      <c r="I181" t="s">
        <v>918</v>
      </c>
      <c r="J181" t="s">
        <v>921</v>
      </c>
      <c r="K181" t="s">
        <v>922</v>
      </c>
      <c r="M181" t="s">
        <v>923</v>
      </c>
      <c r="N181" t="s">
        <v>924</v>
      </c>
    </row>
    <row r="182" spans="1:14" x14ac:dyDescent="0.2">
      <c r="A182">
        <v>11072</v>
      </c>
      <c r="B182" t="s">
        <v>917</v>
      </c>
      <c r="C182">
        <v>4</v>
      </c>
      <c r="D182" s="19">
        <v>35920</v>
      </c>
      <c r="E182" s="19">
        <v>35948</v>
      </c>
      <c r="F182" s="19"/>
      <c r="G182">
        <v>2</v>
      </c>
      <c r="H182">
        <v>258.64</v>
      </c>
      <c r="I182" t="s">
        <v>918</v>
      </c>
      <c r="J182" t="s">
        <v>921</v>
      </c>
      <c r="K182" t="s">
        <v>922</v>
      </c>
      <c r="M182" t="s">
        <v>923</v>
      </c>
      <c r="N182" t="s">
        <v>924</v>
      </c>
    </row>
    <row r="183" spans="1:14" x14ac:dyDescent="0.2">
      <c r="A183">
        <v>10347</v>
      </c>
      <c r="B183" t="s">
        <v>927</v>
      </c>
      <c r="C183">
        <v>4</v>
      </c>
      <c r="D183" s="19">
        <v>35375</v>
      </c>
      <c r="E183" s="19">
        <v>35403</v>
      </c>
      <c r="F183" s="19">
        <v>35377</v>
      </c>
      <c r="G183">
        <v>3</v>
      </c>
      <c r="H183">
        <v>3.1</v>
      </c>
      <c r="I183" t="s">
        <v>928</v>
      </c>
      <c r="J183" t="s">
        <v>931</v>
      </c>
      <c r="K183" t="s">
        <v>882</v>
      </c>
      <c r="L183" t="s">
        <v>883</v>
      </c>
      <c r="M183" t="s">
        <v>932</v>
      </c>
      <c r="N183" t="s">
        <v>885</v>
      </c>
    </row>
    <row r="184" spans="1:14" x14ac:dyDescent="0.2">
      <c r="A184">
        <v>10386</v>
      </c>
      <c r="B184" t="s">
        <v>927</v>
      </c>
      <c r="C184">
        <v>9</v>
      </c>
      <c r="D184" s="19">
        <v>35417</v>
      </c>
      <c r="E184" s="19">
        <v>35431</v>
      </c>
      <c r="F184" s="19">
        <v>35424</v>
      </c>
      <c r="G184">
        <v>3</v>
      </c>
      <c r="H184">
        <v>13.99</v>
      </c>
      <c r="I184" t="s">
        <v>928</v>
      </c>
      <c r="J184" t="s">
        <v>931</v>
      </c>
      <c r="K184" t="s">
        <v>882</v>
      </c>
      <c r="L184" t="s">
        <v>883</v>
      </c>
      <c r="M184" t="s">
        <v>932</v>
      </c>
      <c r="N184" t="s">
        <v>885</v>
      </c>
    </row>
    <row r="185" spans="1:14" x14ac:dyDescent="0.2">
      <c r="A185">
        <v>10414</v>
      </c>
      <c r="B185" t="s">
        <v>927</v>
      </c>
      <c r="C185">
        <v>2</v>
      </c>
      <c r="D185" s="19">
        <v>35444</v>
      </c>
      <c r="E185" s="19">
        <v>35472</v>
      </c>
      <c r="F185" s="19">
        <v>35447</v>
      </c>
      <c r="G185">
        <v>3</v>
      </c>
      <c r="H185">
        <v>21.48</v>
      </c>
      <c r="I185" t="s">
        <v>928</v>
      </c>
      <c r="J185" t="s">
        <v>931</v>
      </c>
      <c r="K185" t="s">
        <v>882</v>
      </c>
      <c r="L185" t="s">
        <v>883</v>
      </c>
      <c r="M185" t="s">
        <v>932</v>
      </c>
      <c r="N185" t="s">
        <v>885</v>
      </c>
    </row>
    <row r="186" spans="1:14" x14ac:dyDescent="0.2">
      <c r="A186">
        <v>10512</v>
      </c>
      <c r="B186" t="s">
        <v>927</v>
      </c>
      <c r="C186">
        <v>7</v>
      </c>
      <c r="D186" s="19">
        <v>35541</v>
      </c>
      <c r="E186" s="19">
        <v>35569</v>
      </c>
      <c r="F186" s="19">
        <v>35544</v>
      </c>
      <c r="G186">
        <v>2</v>
      </c>
      <c r="H186">
        <v>3.53</v>
      </c>
      <c r="I186" t="s">
        <v>928</v>
      </c>
      <c r="J186" t="s">
        <v>931</v>
      </c>
      <c r="K186" t="s">
        <v>882</v>
      </c>
      <c r="L186" t="s">
        <v>883</v>
      </c>
      <c r="M186" t="s">
        <v>932</v>
      </c>
      <c r="N186" t="s">
        <v>885</v>
      </c>
    </row>
    <row r="187" spans="1:14" x14ac:dyDescent="0.2">
      <c r="A187">
        <v>10581</v>
      </c>
      <c r="B187" t="s">
        <v>927</v>
      </c>
      <c r="C187">
        <v>3</v>
      </c>
      <c r="D187" s="19">
        <v>35607</v>
      </c>
      <c r="E187" s="19">
        <v>35635</v>
      </c>
      <c r="F187" s="19">
        <v>35613</v>
      </c>
      <c r="G187">
        <v>1</v>
      </c>
      <c r="H187">
        <v>3.01</v>
      </c>
      <c r="I187" t="s">
        <v>928</v>
      </c>
      <c r="J187" t="s">
        <v>931</v>
      </c>
      <c r="K187" t="s">
        <v>882</v>
      </c>
      <c r="L187" t="s">
        <v>883</v>
      </c>
      <c r="M187" t="s">
        <v>932</v>
      </c>
      <c r="N187" t="s">
        <v>885</v>
      </c>
    </row>
    <row r="188" spans="1:14" x14ac:dyDescent="0.2">
      <c r="A188">
        <v>10650</v>
      </c>
      <c r="B188" t="s">
        <v>927</v>
      </c>
      <c r="C188">
        <v>5</v>
      </c>
      <c r="D188" s="19">
        <v>35671</v>
      </c>
      <c r="E188" s="19">
        <v>35699</v>
      </c>
      <c r="F188" s="19">
        <v>35676</v>
      </c>
      <c r="G188">
        <v>3</v>
      </c>
      <c r="H188">
        <v>176.81</v>
      </c>
      <c r="I188" t="s">
        <v>928</v>
      </c>
      <c r="J188" t="s">
        <v>931</v>
      </c>
      <c r="K188" t="s">
        <v>882</v>
      </c>
      <c r="L188" t="s">
        <v>883</v>
      </c>
      <c r="M188" t="s">
        <v>932</v>
      </c>
      <c r="N188" t="s">
        <v>885</v>
      </c>
    </row>
    <row r="189" spans="1:14" x14ac:dyDescent="0.2">
      <c r="A189">
        <v>10725</v>
      </c>
      <c r="B189" t="s">
        <v>927</v>
      </c>
      <c r="C189">
        <v>4</v>
      </c>
      <c r="D189" s="19">
        <v>35734</v>
      </c>
      <c r="E189" s="19">
        <v>35762</v>
      </c>
      <c r="F189" s="19">
        <v>35739</v>
      </c>
      <c r="G189">
        <v>3</v>
      </c>
      <c r="H189">
        <v>10.83</v>
      </c>
      <c r="I189" t="s">
        <v>928</v>
      </c>
      <c r="J189" t="s">
        <v>931</v>
      </c>
      <c r="K189" t="s">
        <v>882</v>
      </c>
      <c r="L189" t="s">
        <v>883</v>
      </c>
      <c r="M189" t="s">
        <v>932</v>
      </c>
      <c r="N189" t="s">
        <v>885</v>
      </c>
    </row>
    <row r="190" spans="1:14" x14ac:dyDescent="0.2">
      <c r="A190">
        <v>10408</v>
      </c>
      <c r="B190" t="s">
        <v>941</v>
      </c>
      <c r="C190">
        <v>8</v>
      </c>
      <c r="D190" s="19">
        <v>35438</v>
      </c>
      <c r="E190" s="19">
        <v>35466</v>
      </c>
      <c r="F190" s="19">
        <v>35444</v>
      </c>
      <c r="G190">
        <v>1</v>
      </c>
      <c r="H190">
        <v>11.26</v>
      </c>
      <c r="I190" t="s">
        <v>942</v>
      </c>
      <c r="J190" t="s">
        <v>945</v>
      </c>
      <c r="K190" t="s">
        <v>946</v>
      </c>
      <c r="M190" t="s">
        <v>947</v>
      </c>
      <c r="N190" t="s">
        <v>815</v>
      </c>
    </row>
    <row r="191" spans="1:14" x14ac:dyDescent="0.2">
      <c r="A191">
        <v>10480</v>
      </c>
      <c r="B191" t="s">
        <v>941</v>
      </c>
      <c r="C191">
        <v>6</v>
      </c>
      <c r="D191" s="19">
        <v>35509</v>
      </c>
      <c r="E191" s="19">
        <v>35537</v>
      </c>
      <c r="F191" s="19">
        <v>35513</v>
      </c>
      <c r="G191">
        <v>2</v>
      </c>
      <c r="H191">
        <v>1.35</v>
      </c>
      <c r="I191" t="s">
        <v>942</v>
      </c>
      <c r="J191" t="s">
        <v>945</v>
      </c>
      <c r="K191" t="s">
        <v>946</v>
      </c>
      <c r="M191" t="s">
        <v>947</v>
      </c>
      <c r="N191" t="s">
        <v>815</v>
      </c>
    </row>
    <row r="192" spans="1:14" x14ac:dyDescent="0.2">
      <c r="A192">
        <v>10634</v>
      </c>
      <c r="B192" t="s">
        <v>941</v>
      </c>
      <c r="C192">
        <v>4</v>
      </c>
      <c r="D192" s="19">
        <v>35657</v>
      </c>
      <c r="E192" s="19">
        <v>35685</v>
      </c>
      <c r="F192" s="19">
        <v>35663</v>
      </c>
      <c r="G192">
        <v>3</v>
      </c>
      <c r="H192">
        <v>487.38</v>
      </c>
      <c r="I192" t="s">
        <v>942</v>
      </c>
      <c r="J192" t="s">
        <v>945</v>
      </c>
      <c r="K192" t="s">
        <v>946</v>
      </c>
      <c r="M192" t="s">
        <v>947</v>
      </c>
      <c r="N192" t="s">
        <v>815</v>
      </c>
    </row>
    <row r="193" spans="1:14" x14ac:dyDescent="0.2">
      <c r="A193">
        <v>10763</v>
      </c>
      <c r="B193" t="s">
        <v>941</v>
      </c>
      <c r="C193">
        <v>3</v>
      </c>
      <c r="D193" s="19">
        <v>35767</v>
      </c>
      <c r="E193" s="19">
        <v>35795</v>
      </c>
      <c r="F193" s="19">
        <v>35772</v>
      </c>
      <c r="G193">
        <v>3</v>
      </c>
      <c r="H193">
        <v>37.35</v>
      </c>
      <c r="I193" t="s">
        <v>942</v>
      </c>
      <c r="J193" t="s">
        <v>945</v>
      </c>
      <c r="K193" t="s">
        <v>946</v>
      </c>
      <c r="M193" t="s">
        <v>947</v>
      </c>
      <c r="N193" t="s">
        <v>815</v>
      </c>
    </row>
    <row r="194" spans="1:14" x14ac:dyDescent="0.2">
      <c r="A194">
        <v>10789</v>
      </c>
      <c r="B194" t="s">
        <v>941</v>
      </c>
      <c r="C194">
        <v>1</v>
      </c>
      <c r="D194" s="19">
        <v>35786</v>
      </c>
      <c r="E194" s="19">
        <v>35814</v>
      </c>
      <c r="F194" s="19">
        <v>35795</v>
      </c>
      <c r="G194">
        <v>2</v>
      </c>
      <c r="H194">
        <v>100.6</v>
      </c>
      <c r="I194" t="s">
        <v>942</v>
      </c>
      <c r="J194" t="s">
        <v>945</v>
      </c>
      <c r="K194" t="s">
        <v>946</v>
      </c>
      <c r="M194" t="s">
        <v>947</v>
      </c>
      <c r="N194" t="s">
        <v>815</v>
      </c>
    </row>
    <row r="195" spans="1:14" x14ac:dyDescent="0.2">
      <c r="A195">
        <v>10264</v>
      </c>
      <c r="B195" t="s">
        <v>950</v>
      </c>
      <c r="C195">
        <v>6</v>
      </c>
      <c r="D195" s="19">
        <v>35270</v>
      </c>
      <c r="E195" s="19">
        <v>35298</v>
      </c>
      <c r="F195" s="19">
        <v>35300</v>
      </c>
      <c r="G195">
        <v>3</v>
      </c>
      <c r="H195">
        <v>3.67</v>
      </c>
      <c r="I195" t="s">
        <v>951</v>
      </c>
      <c r="J195" t="s">
        <v>953</v>
      </c>
      <c r="K195" t="s">
        <v>954</v>
      </c>
      <c r="M195" t="s">
        <v>955</v>
      </c>
      <c r="N195" t="s">
        <v>797</v>
      </c>
    </row>
    <row r="196" spans="1:14" x14ac:dyDescent="0.2">
      <c r="A196">
        <v>10327</v>
      </c>
      <c r="B196" t="s">
        <v>950</v>
      </c>
      <c r="C196">
        <v>2</v>
      </c>
      <c r="D196" s="19">
        <v>35349</v>
      </c>
      <c r="E196" s="19">
        <v>35377</v>
      </c>
      <c r="F196" s="19">
        <v>35352</v>
      </c>
      <c r="G196">
        <v>1</v>
      </c>
      <c r="H196">
        <v>63.36</v>
      </c>
      <c r="I196" t="s">
        <v>951</v>
      </c>
      <c r="J196" t="s">
        <v>953</v>
      </c>
      <c r="K196" t="s">
        <v>954</v>
      </c>
      <c r="M196" t="s">
        <v>955</v>
      </c>
      <c r="N196" t="s">
        <v>797</v>
      </c>
    </row>
    <row r="197" spans="1:14" x14ac:dyDescent="0.2">
      <c r="A197">
        <v>10378</v>
      </c>
      <c r="B197" t="s">
        <v>950</v>
      </c>
      <c r="C197">
        <v>5</v>
      </c>
      <c r="D197" s="19">
        <v>35409</v>
      </c>
      <c r="E197" s="19">
        <v>35437</v>
      </c>
      <c r="F197" s="19">
        <v>35418</v>
      </c>
      <c r="G197">
        <v>3</v>
      </c>
      <c r="H197">
        <v>5.44</v>
      </c>
      <c r="I197" t="s">
        <v>951</v>
      </c>
      <c r="J197" t="s">
        <v>953</v>
      </c>
      <c r="K197" t="s">
        <v>954</v>
      </c>
      <c r="M197" t="s">
        <v>955</v>
      </c>
      <c r="N197" t="s">
        <v>797</v>
      </c>
    </row>
    <row r="198" spans="1:14" x14ac:dyDescent="0.2">
      <c r="A198">
        <v>10434</v>
      </c>
      <c r="B198" t="s">
        <v>950</v>
      </c>
      <c r="C198">
        <v>3</v>
      </c>
      <c r="D198" s="19">
        <v>35464</v>
      </c>
      <c r="E198" s="19">
        <v>35492</v>
      </c>
      <c r="F198" s="19">
        <v>35474</v>
      </c>
      <c r="G198">
        <v>2</v>
      </c>
      <c r="H198">
        <v>17.920000000000002</v>
      </c>
      <c r="I198" t="s">
        <v>951</v>
      </c>
      <c r="J198" t="s">
        <v>953</v>
      </c>
      <c r="K198" t="s">
        <v>954</v>
      </c>
      <c r="M198" t="s">
        <v>955</v>
      </c>
      <c r="N198" t="s">
        <v>797</v>
      </c>
    </row>
    <row r="199" spans="1:14" x14ac:dyDescent="0.2">
      <c r="A199">
        <v>10460</v>
      </c>
      <c r="B199" t="s">
        <v>950</v>
      </c>
      <c r="C199">
        <v>8</v>
      </c>
      <c r="D199" s="19">
        <v>35489</v>
      </c>
      <c r="E199" s="19">
        <v>35517</v>
      </c>
      <c r="F199" s="19">
        <v>35492</v>
      </c>
      <c r="G199">
        <v>1</v>
      </c>
      <c r="H199">
        <v>16.27</v>
      </c>
      <c r="I199" t="s">
        <v>951</v>
      </c>
      <c r="J199" t="s">
        <v>953</v>
      </c>
      <c r="K199" t="s">
        <v>954</v>
      </c>
      <c r="M199" t="s">
        <v>955</v>
      </c>
      <c r="N199" t="s">
        <v>797</v>
      </c>
    </row>
    <row r="200" spans="1:14" x14ac:dyDescent="0.2">
      <c r="A200">
        <v>10533</v>
      </c>
      <c r="B200" t="s">
        <v>950</v>
      </c>
      <c r="C200">
        <v>8</v>
      </c>
      <c r="D200" s="19">
        <v>35562</v>
      </c>
      <c r="E200" s="19">
        <v>35590</v>
      </c>
      <c r="F200" s="19">
        <v>35572</v>
      </c>
      <c r="G200">
        <v>1</v>
      </c>
      <c r="H200">
        <v>188.04</v>
      </c>
      <c r="I200" t="s">
        <v>951</v>
      </c>
      <c r="J200" t="s">
        <v>953</v>
      </c>
      <c r="K200" t="s">
        <v>954</v>
      </c>
      <c r="M200" t="s">
        <v>955</v>
      </c>
      <c r="N200" t="s">
        <v>797</v>
      </c>
    </row>
    <row r="201" spans="1:14" x14ac:dyDescent="0.2">
      <c r="A201">
        <v>10561</v>
      </c>
      <c r="B201" t="s">
        <v>950</v>
      </c>
      <c r="C201">
        <v>2</v>
      </c>
      <c r="D201" s="19">
        <v>35587</v>
      </c>
      <c r="E201" s="19">
        <v>35615</v>
      </c>
      <c r="F201" s="19">
        <v>35590</v>
      </c>
      <c r="G201">
        <v>2</v>
      </c>
      <c r="H201">
        <v>242.21</v>
      </c>
      <c r="I201" t="s">
        <v>951</v>
      </c>
      <c r="J201" t="s">
        <v>953</v>
      </c>
      <c r="K201" t="s">
        <v>954</v>
      </c>
      <c r="M201" t="s">
        <v>955</v>
      </c>
      <c r="N201" t="s">
        <v>797</v>
      </c>
    </row>
    <row r="202" spans="1:14" x14ac:dyDescent="0.2">
      <c r="A202">
        <v>10703</v>
      </c>
      <c r="B202" t="s">
        <v>950</v>
      </c>
      <c r="C202">
        <v>6</v>
      </c>
      <c r="D202" s="19">
        <v>35717</v>
      </c>
      <c r="E202" s="19">
        <v>35745</v>
      </c>
      <c r="F202" s="19">
        <v>35723</v>
      </c>
      <c r="G202">
        <v>2</v>
      </c>
      <c r="H202">
        <v>152.30000000000001</v>
      </c>
      <c r="I202" t="s">
        <v>951</v>
      </c>
      <c r="J202" t="s">
        <v>953</v>
      </c>
      <c r="K202" t="s">
        <v>954</v>
      </c>
      <c r="M202" t="s">
        <v>955</v>
      </c>
      <c r="N202" t="s">
        <v>797</v>
      </c>
    </row>
    <row r="203" spans="1:14" x14ac:dyDescent="0.2">
      <c r="A203">
        <v>10762</v>
      </c>
      <c r="B203" t="s">
        <v>950</v>
      </c>
      <c r="C203">
        <v>3</v>
      </c>
      <c r="D203" s="19">
        <v>35766</v>
      </c>
      <c r="E203" s="19">
        <v>35794</v>
      </c>
      <c r="F203" s="19">
        <v>35773</v>
      </c>
      <c r="G203">
        <v>1</v>
      </c>
      <c r="H203">
        <v>328.74</v>
      </c>
      <c r="I203" t="s">
        <v>951</v>
      </c>
      <c r="J203" t="s">
        <v>953</v>
      </c>
      <c r="K203" t="s">
        <v>954</v>
      </c>
      <c r="M203" t="s">
        <v>955</v>
      </c>
      <c r="N203" t="s">
        <v>797</v>
      </c>
    </row>
    <row r="204" spans="1:14" x14ac:dyDescent="0.2">
      <c r="A204">
        <v>10774</v>
      </c>
      <c r="B204" t="s">
        <v>950</v>
      </c>
      <c r="C204">
        <v>4</v>
      </c>
      <c r="D204" s="19">
        <v>35775</v>
      </c>
      <c r="E204" s="19">
        <v>35789</v>
      </c>
      <c r="F204" s="19">
        <v>35776</v>
      </c>
      <c r="G204">
        <v>1</v>
      </c>
      <c r="H204">
        <v>48.2</v>
      </c>
      <c r="I204" t="s">
        <v>951</v>
      </c>
      <c r="J204" t="s">
        <v>953</v>
      </c>
      <c r="K204" t="s">
        <v>954</v>
      </c>
      <c r="M204" t="s">
        <v>955</v>
      </c>
      <c r="N204" t="s">
        <v>797</v>
      </c>
    </row>
    <row r="205" spans="1:14" x14ac:dyDescent="0.2">
      <c r="A205">
        <v>10824</v>
      </c>
      <c r="B205" t="s">
        <v>950</v>
      </c>
      <c r="C205">
        <v>8</v>
      </c>
      <c r="D205" s="19">
        <v>35804</v>
      </c>
      <c r="E205" s="19">
        <v>35832</v>
      </c>
      <c r="F205" s="19">
        <v>35825</v>
      </c>
      <c r="G205">
        <v>1</v>
      </c>
      <c r="H205">
        <v>1.23</v>
      </c>
      <c r="I205" t="s">
        <v>951</v>
      </c>
      <c r="J205" t="s">
        <v>953</v>
      </c>
      <c r="K205" t="s">
        <v>954</v>
      </c>
      <c r="M205" t="s">
        <v>955</v>
      </c>
      <c r="N205" t="s">
        <v>797</v>
      </c>
    </row>
    <row r="206" spans="1:14" x14ac:dyDescent="0.2">
      <c r="A206">
        <v>10880</v>
      </c>
      <c r="B206" t="s">
        <v>950</v>
      </c>
      <c r="C206">
        <v>7</v>
      </c>
      <c r="D206" s="19">
        <v>35836</v>
      </c>
      <c r="E206" s="19">
        <v>35878</v>
      </c>
      <c r="F206" s="19">
        <v>35844</v>
      </c>
      <c r="G206">
        <v>1</v>
      </c>
      <c r="H206">
        <v>88.01</v>
      </c>
      <c r="I206" t="s">
        <v>951</v>
      </c>
      <c r="J206" t="s">
        <v>953</v>
      </c>
      <c r="K206" t="s">
        <v>954</v>
      </c>
      <c r="M206" t="s">
        <v>955</v>
      </c>
      <c r="N206" t="s">
        <v>797</v>
      </c>
    </row>
    <row r="207" spans="1:14" x14ac:dyDescent="0.2">
      <c r="A207">
        <v>10902</v>
      </c>
      <c r="B207" t="s">
        <v>950</v>
      </c>
      <c r="C207">
        <v>1</v>
      </c>
      <c r="D207" s="19">
        <v>35849</v>
      </c>
      <c r="E207" s="19">
        <v>35877</v>
      </c>
      <c r="F207" s="19">
        <v>35857</v>
      </c>
      <c r="G207">
        <v>1</v>
      </c>
      <c r="H207">
        <v>44.15</v>
      </c>
      <c r="I207" t="s">
        <v>951</v>
      </c>
      <c r="J207" t="s">
        <v>953</v>
      </c>
      <c r="K207" t="s">
        <v>954</v>
      </c>
      <c r="M207" t="s">
        <v>955</v>
      </c>
      <c r="N207" t="s">
        <v>797</v>
      </c>
    </row>
    <row r="208" spans="1:14" x14ac:dyDescent="0.2">
      <c r="A208">
        <v>10955</v>
      </c>
      <c r="B208" t="s">
        <v>950</v>
      </c>
      <c r="C208">
        <v>8</v>
      </c>
      <c r="D208" s="19">
        <v>35871</v>
      </c>
      <c r="E208" s="19">
        <v>35899</v>
      </c>
      <c r="F208" s="19">
        <v>35874</v>
      </c>
      <c r="G208">
        <v>2</v>
      </c>
      <c r="H208">
        <v>3.26</v>
      </c>
      <c r="I208" t="s">
        <v>951</v>
      </c>
      <c r="J208" t="s">
        <v>953</v>
      </c>
      <c r="K208" t="s">
        <v>954</v>
      </c>
      <c r="M208" t="s">
        <v>955</v>
      </c>
      <c r="N208" t="s">
        <v>797</v>
      </c>
    </row>
    <row r="209" spans="1:14" x14ac:dyDescent="0.2">
      <c r="A209">
        <v>10977</v>
      </c>
      <c r="B209" t="s">
        <v>950</v>
      </c>
      <c r="C209">
        <v>8</v>
      </c>
      <c r="D209" s="19">
        <v>35880</v>
      </c>
      <c r="E209" s="19">
        <v>35908</v>
      </c>
      <c r="F209" s="19">
        <v>35895</v>
      </c>
      <c r="G209">
        <v>3</v>
      </c>
      <c r="H209">
        <v>208.5</v>
      </c>
      <c r="I209" t="s">
        <v>951</v>
      </c>
      <c r="J209" t="s">
        <v>953</v>
      </c>
      <c r="K209" t="s">
        <v>954</v>
      </c>
      <c r="M209" t="s">
        <v>955</v>
      </c>
      <c r="N209" t="s">
        <v>797</v>
      </c>
    </row>
    <row r="210" spans="1:14" x14ac:dyDescent="0.2">
      <c r="A210">
        <v>10980</v>
      </c>
      <c r="B210" t="s">
        <v>950</v>
      </c>
      <c r="C210">
        <v>4</v>
      </c>
      <c r="D210" s="19">
        <v>35881</v>
      </c>
      <c r="E210" s="19">
        <v>35923</v>
      </c>
      <c r="F210" s="19">
        <v>35902</v>
      </c>
      <c r="G210">
        <v>1</v>
      </c>
      <c r="H210">
        <v>1.26</v>
      </c>
      <c r="I210" t="s">
        <v>951</v>
      </c>
      <c r="J210" t="s">
        <v>953</v>
      </c>
      <c r="K210" t="s">
        <v>954</v>
      </c>
      <c r="M210" t="s">
        <v>955</v>
      </c>
      <c r="N210" t="s">
        <v>797</v>
      </c>
    </row>
    <row r="211" spans="1:14" x14ac:dyDescent="0.2">
      <c r="A211">
        <v>10993</v>
      </c>
      <c r="B211" t="s">
        <v>950</v>
      </c>
      <c r="C211">
        <v>7</v>
      </c>
      <c r="D211" s="19">
        <v>35886</v>
      </c>
      <c r="E211" s="19">
        <v>35914</v>
      </c>
      <c r="F211" s="19">
        <v>35895</v>
      </c>
      <c r="G211">
        <v>3</v>
      </c>
      <c r="H211">
        <v>8.81</v>
      </c>
      <c r="I211" t="s">
        <v>951</v>
      </c>
      <c r="J211" t="s">
        <v>953</v>
      </c>
      <c r="K211" t="s">
        <v>954</v>
      </c>
      <c r="M211" t="s">
        <v>955</v>
      </c>
      <c r="N211" t="s">
        <v>797</v>
      </c>
    </row>
    <row r="212" spans="1:14" x14ac:dyDescent="0.2">
      <c r="A212">
        <v>11001</v>
      </c>
      <c r="B212" t="s">
        <v>950</v>
      </c>
      <c r="C212">
        <v>2</v>
      </c>
      <c r="D212" s="19">
        <v>35891</v>
      </c>
      <c r="E212" s="19">
        <v>35919</v>
      </c>
      <c r="F212" s="19">
        <v>35899</v>
      </c>
      <c r="G212">
        <v>2</v>
      </c>
      <c r="H212">
        <v>197.3</v>
      </c>
      <c r="I212" t="s">
        <v>951</v>
      </c>
      <c r="J212" t="s">
        <v>953</v>
      </c>
      <c r="K212" t="s">
        <v>954</v>
      </c>
      <c r="M212" t="s">
        <v>955</v>
      </c>
      <c r="N212" t="s">
        <v>797</v>
      </c>
    </row>
    <row r="213" spans="1:14" x14ac:dyDescent="0.2">
      <c r="A213">
        <v>11050</v>
      </c>
      <c r="B213" t="s">
        <v>950</v>
      </c>
      <c r="C213">
        <v>8</v>
      </c>
      <c r="D213" s="19">
        <v>35912</v>
      </c>
      <c r="E213" s="19">
        <v>35940</v>
      </c>
      <c r="F213" s="19">
        <v>35920</v>
      </c>
      <c r="G213">
        <v>2</v>
      </c>
      <c r="H213">
        <v>59.41</v>
      </c>
      <c r="I213" t="s">
        <v>951</v>
      </c>
      <c r="J213" t="s">
        <v>953</v>
      </c>
      <c r="K213" t="s">
        <v>954</v>
      </c>
      <c r="M213" t="s">
        <v>955</v>
      </c>
      <c r="N213" t="s">
        <v>797</v>
      </c>
    </row>
    <row r="214" spans="1:14" x14ac:dyDescent="0.2">
      <c r="A214">
        <v>10267</v>
      </c>
      <c r="B214" t="s">
        <v>957</v>
      </c>
      <c r="C214">
        <v>4</v>
      </c>
      <c r="D214" s="19">
        <v>35275</v>
      </c>
      <c r="E214" s="19">
        <v>35303</v>
      </c>
      <c r="F214" s="19">
        <v>35283</v>
      </c>
      <c r="G214">
        <v>1</v>
      </c>
      <c r="H214">
        <v>208.58</v>
      </c>
      <c r="I214" t="s">
        <v>958</v>
      </c>
      <c r="J214" t="s">
        <v>960</v>
      </c>
      <c r="K214" t="s">
        <v>961</v>
      </c>
      <c r="M214" t="s">
        <v>962</v>
      </c>
      <c r="N214" t="s">
        <v>762</v>
      </c>
    </row>
    <row r="215" spans="1:14" x14ac:dyDescent="0.2">
      <c r="A215">
        <v>10337</v>
      </c>
      <c r="B215" t="s">
        <v>957</v>
      </c>
      <c r="C215">
        <v>4</v>
      </c>
      <c r="D215" s="19">
        <v>35362</v>
      </c>
      <c r="E215" s="19">
        <v>35390</v>
      </c>
      <c r="F215" s="19">
        <v>35367</v>
      </c>
      <c r="G215">
        <v>3</v>
      </c>
      <c r="H215">
        <v>108.26</v>
      </c>
      <c r="I215" t="s">
        <v>958</v>
      </c>
      <c r="J215" t="s">
        <v>960</v>
      </c>
      <c r="K215" t="s">
        <v>961</v>
      </c>
      <c r="M215" t="s">
        <v>962</v>
      </c>
      <c r="N215" t="s">
        <v>762</v>
      </c>
    </row>
    <row r="216" spans="1:14" x14ac:dyDescent="0.2">
      <c r="A216">
        <v>10342</v>
      </c>
      <c r="B216" t="s">
        <v>957</v>
      </c>
      <c r="C216">
        <v>4</v>
      </c>
      <c r="D216" s="19">
        <v>35368</v>
      </c>
      <c r="E216" s="19">
        <v>35382</v>
      </c>
      <c r="F216" s="19">
        <v>35373</v>
      </c>
      <c r="G216">
        <v>2</v>
      </c>
      <c r="H216">
        <v>54.83</v>
      </c>
      <c r="I216" t="s">
        <v>958</v>
      </c>
      <c r="J216" t="s">
        <v>960</v>
      </c>
      <c r="K216" t="s">
        <v>961</v>
      </c>
      <c r="M216" t="s">
        <v>962</v>
      </c>
      <c r="N216" t="s">
        <v>762</v>
      </c>
    </row>
    <row r="217" spans="1:14" x14ac:dyDescent="0.2">
      <c r="A217">
        <v>10396</v>
      </c>
      <c r="B217" t="s">
        <v>957</v>
      </c>
      <c r="C217">
        <v>1</v>
      </c>
      <c r="D217" s="19">
        <v>35426</v>
      </c>
      <c r="E217" s="19">
        <v>35440</v>
      </c>
      <c r="F217" s="19">
        <v>35436</v>
      </c>
      <c r="G217">
        <v>3</v>
      </c>
      <c r="H217">
        <v>135.35</v>
      </c>
      <c r="I217" t="s">
        <v>958</v>
      </c>
      <c r="J217" t="s">
        <v>960</v>
      </c>
      <c r="K217" t="s">
        <v>961</v>
      </c>
      <c r="M217" t="s">
        <v>962</v>
      </c>
      <c r="N217" t="s">
        <v>762</v>
      </c>
    </row>
    <row r="218" spans="1:14" x14ac:dyDescent="0.2">
      <c r="A218">
        <v>10488</v>
      </c>
      <c r="B218" t="s">
        <v>957</v>
      </c>
      <c r="C218">
        <v>8</v>
      </c>
      <c r="D218" s="19">
        <v>35516</v>
      </c>
      <c r="E218" s="19">
        <v>35544</v>
      </c>
      <c r="F218" s="19">
        <v>35522</v>
      </c>
      <c r="G218">
        <v>2</v>
      </c>
      <c r="H218">
        <v>4.93</v>
      </c>
      <c r="I218" t="s">
        <v>958</v>
      </c>
      <c r="J218" t="s">
        <v>960</v>
      </c>
      <c r="K218" t="s">
        <v>961</v>
      </c>
      <c r="M218" t="s">
        <v>962</v>
      </c>
      <c r="N218" t="s">
        <v>762</v>
      </c>
    </row>
    <row r="219" spans="1:14" x14ac:dyDescent="0.2">
      <c r="A219">
        <v>10560</v>
      </c>
      <c r="B219" t="s">
        <v>957</v>
      </c>
      <c r="C219">
        <v>8</v>
      </c>
      <c r="D219" s="19">
        <v>35587</v>
      </c>
      <c r="E219" s="19">
        <v>35615</v>
      </c>
      <c r="F219" s="19">
        <v>35590</v>
      </c>
      <c r="G219">
        <v>1</v>
      </c>
      <c r="H219">
        <v>36.65</v>
      </c>
      <c r="I219" t="s">
        <v>958</v>
      </c>
      <c r="J219" t="s">
        <v>960</v>
      </c>
      <c r="K219" t="s">
        <v>961</v>
      </c>
      <c r="M219" t="s">
        <v>962</v>
      </c>
      <c r="N219" t="s">
        <v>762</v>
      </c>
    </row>
    <row r="220" spans="1:14" x14ac:dyDescent="0.2">
      <c r="A220">
        <v>10623</v>
      </c>
      <c r="B220" t="s">
        <v>957</v>
      </c>
      <c r="C220">
        <v>8</v>
      </c>
      <c r="D220" s="19">
        <v>35649</v>
      </c>
      <c r="E220" s="19">
        <v>35677</v>
      </c>
      <c r="F220" s="19">
        <v>35654</v>
      </c>
      <c r="G220">
        <v>2</v>
      </c>
      <c r="H220">
        <v>97.18</v>
      </c>
      <c r="I220" t="s">
        <v>958</v>
      </c>
      <c r="J220" t="s">
        <v>960</v>
      </c>
      <c r="K220" t="s">
        <v>961</v>
      </c>
      <c r="M220" t="s">
        <v>962</v>
      </c>
      <c r="N220" t="s">
        <v>762</v>
      </c>
    </row>
    <row r="221" spans="1:14" x14ac:dyDescent="0.2">
      <c r="A221">
        <v>10653</v>
      </c>
      <c r="B221" t="s">
        <v>957</v>
      </c>
      <c r="C221">
        <v>1</v>
      </c>
      <c r="D221" s="19">
        <v>35675</v>
      </c>
      <c r="E221" s="19">
        <v>35703</v>
      </c>
      <c r="F221" s="19">
        <v>35692</v>
      </c>
      <c r="G221">
        <v>1</v>
      </c>
      <c r="H221">
        <v>93.25</v>
      </c>
      <c r="I221" t="s">
        <v>958</v>
      </c>
      <c r="J221" t="s">
        <v>960</v>
      </c>
      <c r="K221" t="s">
        <v>961</v>
      </c>
      <c r="M221" t="s">
        <v>962</v>
      </c>
      <c r="N221" t="s">
        <v>762</v>
      </c>
    </row>
    <row r="222" spans="1:14" x14ac:dyDescent="0.2">
      <c r="A222">
        <v>10670</v>
      </c>
      <c r="B222" t="s">
        <v>957</v>
      </c>
      <c r="C222">
        <v>4</v>
      </c>
      <c r="D222" s="19">
        <v>35689</v>
      </c>
      <c r="E222" s="19">
        <v>35717</v>
      </c>
      <c r="F222" s="19">
        <v>35691</v>
      </c>
      <c r="G222">
        <v>1</v>
      </c>
      <c r="H222">
        <v>203.48</v>
      </c>
      <c r="I222" t="s">
        <v>958</v>
      </c>
      <c r="J222" t="s">
        <v>960</v>
      </c>
      <c r="K222" t="s">
        <v>961</v>
      </c>
      <c r="M222" t="s">
        <v>962</v>
      </c>
      <c r="N222" t="s">
        <v>762</v>
      </c>
    </row>
    <row r="223" spans="1:14" x14ac:dyDescent="0.2">
      <c r="A223">
        <v>10675</v>
      </c>
      <c r="B223" t="s">
        <v>957</v>
      </c>
      <c r="C223">
        <v>5</v>
      </c>
      <c r="D223" s="19">
        <v>35692</v>
      </c>
      <c r="E223" s="19">
        <v>35720</v>
      </c>
      <c r="F223" s="19">
        <v>35696</v>
      </c>
      <c r="G223">
        <v>2</v>
      </c>
      <c r="H223">
        <v>31.85</v>
      </c>
      <c r="I223" t="s">
        <v>958</v>
      </c>
      <c r="J223" t="s">
        <v>960</v>
      </c>
      <c r="K223" t="s">
        <v>961</v>
      </c>
      <c r="M223" t="s">
        <v>962</v>
      </c>
      <c r="N223" t="s">
        <v>762</v>
      </c>
    </row>
    <row r="224" spans="1:14" x14ac:dyDescent="0.2">
      <c r="A224">
        <v>10717</v>
      </c>
      <c r="B224" t="s">
        <v>957</v>
      </c>
      <c r="C224">
        <v>1</v>
      </c>
      <c r="D224" s="19">
        <v>35727</v>
      </c>
      <c r="E224" s="19">
        <v>35755</v>
      </c>
      <c r="F224" s="19">
        <v>35732</v>
      </c>
      <c r="G224">
        <v>2</v>
      </c>
      <c r="H224">
        <v>59.25</v>
      </c>
      <c r="I224" t="s">
        <v>958</v>
      </c>
      <c r="J224" t="s">
        <v>960</v>
      </c>
      <c r="K224" t="s">
        <v>961</v>
      </c>
      <c r="M224" t="s">
        <v>962</v>
      </c>
      <c r="N224" t="s">
        <v>762</v>
      </c>
    </row>
    <row r="225" spans="1:14" x14ac:dyDescent="0.2">
      <c r="A225">
        <v>10791</v>
      </c>
      <c r="B225" t="s">
        <v>957</v>
      </c>
      <c r="C225">
        <v>6</v>
      </c>
      <c r="D225" s="19">
        <v>35787</v>
      </c>
      <c r="E225" s="19">
        <v>35815</v>
      </c>
      <c r="F225" s="19">
        <v>35796</v>
      </c>
      <c r="G225">
        <v>2</v>
      </c>
      <c r="H225">
        <v>16.850000000000001</v>
      </c>
      <c r="I225" t="s">
        <v>958</v>
      </c>
      <c r="J225" t="s">
        <v>960</v>
      </c>
      <c r="K225" t="s">
        <v>961</v>
      </c>
      <c r="M225" t="s">
        <v>962</v>
      </c>
      <c r="N225" t="s">
        <v>762</v>
      </c>
    </row>
    <row r="226" spans="1:14" x14ac:dyDescent="0.2">
      <c r="A226">
        <v>10859</v>
      </c>
      <c r="B226" t="s">
        <v>957</v>
      </c>
      <c r="C226">
        <v>1</v>
      </c>
      <c r="D226" s="19">
        <v>35824</v>
      </c>
      <c r="E226" s="19">
        <v>35852</v>
      </c>
      <c r="F226" s="19">
        <v>35828</v>
      </c>
      <c r="G226">
        <v>2</v>
      </c>
      <c r="H226">
        <v>76.099999999999994</v>
      </c>
      <c r="I226" t="s">
        <v>958</v>
      </c>
      <c r="J226" t="s">
        <v>960</v>
      </c>
      <c r="K226" t="s">
        <v>961</v>
      </c>
      <c r="M226" t="s">
        <v>962</v>
      </c>
      <c r="N226" t="s">
        <v>762</v>
      </c>
    </row>
    <row r="227" spans="1:14" x14ac:dyDescent="0.2">
      <c r="A227">
        <v>10929</v>
      </c>
      <c r="B227" t="s">
        <v>957</v>
      </c>
      <c r="C227">
        <v>6</v>
      </c>
      <c r="D227" s="19">
        <v>35859</v>
      </c>
      <c r="E227" s="19">
        <v>35887</v>
      </c>
      <c r="F227" s="19">
        <v>35866</v>
      </c>
      <c r="G227">
        <v>1</v>
      </c>
      <c r="H227">
        <v>33.93</v>
      </c>
      <c r="I227" t="s">
        <v>958</v>
      </c>
      <c r="J227" t="s">
        <v>960</v>
      </c>
      <c r="K227" t="s">
        <v>961</v>
      </c>
      <c r="M227" t="s">
        <v>962</v>
      </c>
      <c r="N227" t="s">
        <v>762</v>
      </c>
    </row>
    <row r="228" spans="1:14" x14ac:dyDescent="0.2">
      <c r="A228">
        <v>11012</v>
      </c>
      <c r="B228" t="s">
        <v>957</v>
      </c>
      <c r="C228">
        <v>1</v>
      </c>
      <c r="D228" s="19">
        <v>35894</v>
      </c>
      <c r="E228" s="19">
        <v>35908</v>
      </c>
      <c r="F228" s="19">
        <v>35902</v>
      </c>
      <c r="G228">
        <v>3</v>
      </c>
      <c r="H228">
        <v>242.95</v>
      </c>
      <c r="I228" t="s">
        <v>958</v>
      </c>
      <c r="J228" t="s">
        <v>960</v>
      </c>
      <c r="K228" t="s">
        <v>961</v>
      </c>
      <c r="M228" t="s">
        <v>962</v>
      </c>
      <c r="N228" t="s">
        <v>762</v>
      </c>
    </row>
    <row r="229" spans="1:14" x14ac:dyDescent="0.2">
      <c r="A229">
        <v>10671</v>
      </c>
      <c r="B229" t="s">
        <v>965</v>
      </c>
      <c r="C229">
        <v>1</v>
      </c>
      <c r="D229" s="19">
        <v>35690</v>
      </c>
      <c r="E229" s="19">
        <v>35718</v>
      </c>
      <c r="F229" s="19">
        <v>35697</v>
      </c>
      <c r="G229">
        <v>1</v>
      </c>
      <c r="H229">
        <v>30.34</v>
      </c>
      <c r="I229" t="s">
        <v>966</v>
      </c>
      <c r="J229" t="s">
        <v>968</v>
      </c>
      <c r="K229" t="s">
        <v>906</v>
      </c>
      <c r="M229" t="s">
        <v>907</v>
      </c>
      <c r="N229" t="s">
        <v>815</v>
      </c>
    </row>
    <row r="230" spans="1:14" x14ac:dyDescent="0.2">
      <c r="A230">
        <v>10860</v>
      </c>
      <c r="B230" t="s">
        <v>965</v>
      </c>
      <c r="C230">
        <v>3</v>
      </c>
      <c r="D230" s="19">
        <v>35824</v>
      </c>
      <c r="E230" s="19">
        <v>35852</v>
      </c>
      <c r="F230" s="19">
        <v>35830</v>
      </c>
      <c r="G230">
        <v>3</v>
      </c>
      <c r="H230">
        <v>19.260000000000002</v>
      </c>
      <c r="I230" t="s">
        <v>966</v>
      </c>
      <c r="J230" t="s">
        <v>968</v>
      </c>
      <c r="K230" t="s">
        <v>906</v>
      </c>
      <c r="M230" t="s">
        <v>907</v>
      </c>
      <c r="N230" t="s">
        <v>815</v>
      </c>
    </row>
    <row r="231" spans="1:14" x14ac:dyDescent="0.2">
      <c r="A231">
        <v>10971</v>
      </c>
      <c r="B231" t="s">
        <v>965</v>
      </c>
      <c r="C231">
        <v>2</v>
      </c>
      <c r="D231" s="19">
        <v>35878</v>
      </c>
      <c r="E231" s="19">
        <v>35906</v>
      </c>
      <c r="F231" s="19">
        <v>35887</v>
      </c>
      <c r="G231">
        <v>2</v>
      </c>
      <c r="H231">
        <v>121.82</v>
      </c>
      <c r="I231" t="s">
        <v>966</v>
      </c>
      <c r="J231" t="s">
        <v>968</v>
      </c>
      <c r="K231" t="s">
        <v>906</v>
      </c>
      <c r="M231" t="s">
        <v>907</v>
      </c>
      <c r="N231" t="s">
        <v>815</v>
      </c>
    </row>
    <row r="232" spans="1:14" x14ac:dyDescent="0.2">
      <c r="A232">
        <v>10422</v>
      </c>
      <c r="B232" t="s">
        <v>971</v>
      </c>
      <c r="C232">
        <v>2</v>
      </c>
      <c r="D232" s="19">
        <v>35452</v>
      </c>
      <c r="E232" s="19">
        <v>35480</v>
      </c>
      <c r="F232" s="19">
        <v>35461</v>
      </c>
      <c r="G232">
        <v>1</v>
      </c>
      <c r="H232">
        <v>3.02</v>
      </c>
      <c r="I232" t="s">
        <v>972</v>
      </c>
      <c r="J232" t="s">
        <v>974</v>
      </c>
      <c r="K232" t="s">
        <v>975</v>
      </c>
      <c r="M232" t="s">
        <v>976</v>
      </c>
      <c r="N232" t="s">
        <v>977</v>
      </c>
    </row>
    <row r="233" spans="1:14" x14ac:dyDescent="0.2">
      <c r="A233">
        <v>10710</v>
      </c>
      <c r="B233" t="s">
        <v>971</v>
      </c>
      <c r="C233">
        <v>1</v>
      </c>
      <c r="D233" s="19">
        <v>35723</v>
      </c>
      <c r="E233" s="19">
        <v>35751</v>
      </c>
      <c r="F233" s="19">
        <v>35726</v>
      </c>
      <c r="G233">
        <v>1</v>
      </c>
      <c r="H233">
        <v>4.9800000000000004</v>
      </c>
      <c r="I233" t="s">
        <v>972</v>
      </c>
      <c r="J233" t="s">
        <v>974</v>
      </c>
      <c r="K233" t="s">
        <v>975</v>
      </c>
      <c r="M233" t="s">
        <v>976</v>
      </c>
      <c r="N233" t="s">
        <v>977</v>
      </c>
    </row>
    <row r="234" spans="1:14" x14ac:dyDescent="0.2">
      <c r="A234">
        <v>10753</v>
      </c>
      <c r="B234" t="s">
        <v>971</v>
      </c>
      <c r="C234">
        <v>3</v>
      </c>
      <c r="D234" s="19">
        <v>35759</v>
      </c>
      <c r="E234" s="19">
        <v>35787</v>
      </c>
      <c r="F234" s="19">
        <v>35761</v>
      </c>
      <c r="G234">
        <v>1</v>
      </c>
      <c r="H234">
        <v>7.7</v>
      </c>
      <c r="I234" t="s">
        <v>972</v>
      </c>
      <c r="J234" t="s">
        <v>974</v>
      </c>
      <c r="K234" t="s">
        <v>975</v>
      </c>
      <c r="M234" t="s">
        <v>976</v>
      </c>
      <c r="N234" t="s">
        <v>977</v>
      </c>
    </row>
    <row r="235" spans="1:14" x14ac:dyDescent="0.2">
      <c r="A235">
        <v>10807</v>
      </c>
      <c r="B235" t="s">
        <v>971</v>
      </c>
      <c r="C235">
        <v>4</v>
      </c>
      <c r="D235" s="19">
        <v>35795</v>
      </c>
      <c r="E235" s="19">
        <v>35823</v>
      </c>
      <c r="F235" s="19">
        <v>35825</v>
      </c>
      <c r="G235">
        <v>1</v>
      </c>
      <c r="H235">
        <v>1.36</v>
      </c>
      <c r="I235" t="s">
        <v>972</v>
      </c>
      <c r="J235" t="s">
        <v>974</v>
      </c>
      <c r="K235" t="s">
        <v>975</v>
      </c>
      <c r="M235" t="s">
        <v>976</v>
      </c>
      <c r="N235" t="s">
        <v>977</v>
      </c>
    </row>
    <row r="236" spans="1:14" x14ac:dyDescent="0.2">
      <c r="A236">
        <v>11026</v>
      </c>
      <c r="B236" t="s">
        <v>971</v>
      </c>
      <c r="C236">
        <v>4</v>
      </c>
      <c r="D236" s="19">
        <v>35900</v>
      </c>
      <c r="E236" s="19">
        <v>35928</v>
      </c>
      <c r="F236" s="19">
        <v>35913</v>
      </c>
      <c r="G236">
        <v>1</v>
      </c>
      <c r="H236">
        <v>47.09</v>
      </c>
      <c r="I236" t="s">
        <v>972</v>
      </c>
      <c r="J236" t="s">
        <v>974</v>
      </c>
      <c r="K236" t="s">
        <v>975</v>
      </c>
      <c r="M236" t="s">
        <v>976</v>
      </c>
      <c r="N236" t="s">
        <v>977</v>
      </c>
    </row>
    <row r="237" spans="1:14" x14ac:dyDescent="0.2">
      <c r="A237">
        <v>11060</v>
      </c>
      <c r="B237" t="s">
        <v>971</v>
      </c>
      <c r="C237">
        <v>2</v>
      </c>
      <c r="D237" s="19">
        <v>35915</v>
      </c>
      <c r="E237" s="19">
        <v>35943</v>
      </c>
      <c r="F237" s="19">
        <v>35919</v>
      </c>
      <c r="G237">
        <v>2</v>
      </c>
      <c r="H237">
        <v>10.98</v>
      </c>
      <c r="I237" t="s">
        <v>972</v>
      </c>
      <c r="J237" t="s">
        <v>974</v>
      </c>
      <c r="K237" t="s">
        <v>975</v>
      </c>
      <c r="M237" t="s">
        <v>976</v>
      </c>
      <c r="N237" t="s">
        <v>977</v>
      </c>
    </row>
    <row r="238" spans="1:14" x14ac:dyDescent="0.2">
      <c r="A238">
        <v>10328</v>
      </c>
      <c r="B238" t="s">
        <v>980</v>
      </c>
      <c r="C238">
        <v>4</v>
      </c>
      <c r="D238" s="19">
        <v>35352</v>
      </c>
      <c r="E238" s="19">
        <v>35380</v>
      </c>
      <c r="F238" s="19">
        <v>35355</v>
      </c>
      <c r="G238">
        <v>3</v>
      </c>
      <c r="H238">
        <v>87.03</v>
      </c>
      <c r="I238" t="s">
        <v>981</v>
      </c>
      <c r="J238" t="s">
        <v>983</v>
      </c>
      <c r="K238" t="s">
        <v>984</v>
      </c>
      <c r="M238" t="s">
        <v>985</v>
      </c>
      <c r="N238" t="s">
        <v>986</v>
      </c>
    </row>
    <row r="239" spans="1:14" x14ac:dyDescent="0.2">
      <c r="A239">
        <v>10352</v>
      </c>
      <c r="B239" t="s">
        <v>980</v>
      </c>
      <c r="C239">
        <v>3</v>
      </c>
      <c r="D239" s="19">
        <v>35381</v>
      </c>
      <c r="E239" s="19">
        <v>35395</v>
      </c>
      <c r="F239" s="19">
        <v>35387</v>
      </c>
      <c r="G239">
        <v>3</v>
      </c>
      <c r="H239">
        <v>1.3</v>
      </c>
      <c r="I239" t="s">
        <v>981</v>
      </c>
      <c r="J239" t="s">
        <v>983</v>
      </c>
      <c r="K239" t="s">
        <v>984</v>
      </c>
      <c r="M239" t="s">
        <v>985</v>
      </c>
      <c r="N239" t="s">
        <v>986</v>
      </c>
    </row>
    <row r="240" spans="1:14" x14ac:dyDescent="0.2">
      <c r="A240">
        <v>10464</v>
      </c>
      <c r="B240" t="s">
        <v>980</v>
      </c>
      <c r="C240">
        <v>4</v>
      </c>
      <c r="D240" s="19">
        <v>35493</v>
      </c>
      <c r="E240" s="19">
        <v>35521</v>
      </c>
      <c r="F240" s="19">
        <v>35503</v>
      </c>
      <c r="G240">
        <v>2</v>
      </c>
      <c r="H240">
        <v>89</v>
      </c>
      <c r="I240" t="s">
        <v>981</v>
      </c>
      <c r="J240" t="s">
        <v>983</v>
      </c>
      <c r="K240" t="s">
        <v>984</v>
      </c>
      <c r="M240" t="s">
        <v>985</v>
      </c>
      <c r="N240" t="s">
        <v>986</v>
      </c>
    </row>
    <row r="241" spans="1:14" x14ac:dyDescent="0.2">
      <c r="A241">
        <v>10491</v>
      </c>
      <c r="B241" t="s">
        <v>980</v>
      </c>
      <c r="C241">
        <v>8</v>
      </c>
      <c r="D241" s="19">
        <v>35520</v>
      </c>
      <c r="E241" s="19">
        <v>35548</v>
      </c>
      <c r="F241" s="19">
        <v>35528</v>
      </c>
      <c r="G241">
        <v>3</v>
      </c>
      <c r="H241">
        <v>16.96</v>
      </c>
      <c r="I241" t="s">
        <v>981</v>
      </c>
      <c r="J241" t="s">
        <v>983</v>
      </c>
      <c r="K241" t="s">
        <v>984</v>
      </c>
      <c r="M241" t="s">
        <v>985</v>
      </c>
      <c r="N241" t="s">
        <v>986</v>
      </c>
    </row>
    <row r="242" spans="1:14" x14ac:dyDescent="0.2">
      <c r="A242">
        <v>10551</v>
      </c>
      <c r="B242" t="s">
        <v>980</v>
      </c>
      <c r="C242">
        <v>4</v>
      </c>
      <c r="D242" s="19">
        <v>35578</v>
      </c>
      <c r="E242" s="19">
        <v>35620</v>
      </c>
      <c r="F242" s="19">
        <v>35587</v>
      </c>
      <c r="G242">
        <v>3</v>
      </c>
      <c r="H242">
        <v>72.95</v>
      </c>
      <c r="I242" t="s">
        <v>981</v>
      </c>
      <c r="J242" t="s">
        <v>983</v>
      </c>
      <c r="K242" t="s">
        <v>984</v>
      </c>
      <c r="M242" t="s">
        <v>985</v>
      </c>
      <c r="N242" t="s">
        <v>986</v>
      </c>
    </row>
    <row r="243" spans="1:14" x14ac:dyDescent="0.2">
      <c r="A243">
        <v>10604</v>
      </c>
      <c r="B243" t="s">
        <v>980</v>
      </c>
      <c r="C243">
        <v>1</v>
      </c>
      <c r="D243" s="19">
        <v>35629</v>
      </c>
      <c r="E243" s="19">
        <v>35657</v>
      </c>
      <c r="F243" s="19">
        <v>35640</v>
      </c>
      <c r="G243">
        <v>1</v>
      </c>
      <c r="H243">
        <v>7.46</v>
      </c>
      <c r="I243" t="s">
        <v>981</v>
      </c>
      <c r="J243" t="s">
        <v>983</v>
      </c>
      <c r="K243" t="s">
        <v>984</v>
      </c>
      <c r="M243" t="s">
        <v>985</v>
      </c>
      <c r="N243" t="s">
        <v>986</v>
      </c>
    </row>
    <row r="244" spans="1:14" x14ac:dyDescent="0.2">
      <c r="A244">
        <v>10664</v>
      </c>
      <c r="B244" t="s">
        <v>980</v>
      </c>
      <c r="C244">
        <v>1</v>
      </c>
      <c r="D244" s="19">
        <v>35683</v>
      </c>
      <c r="E244" s="19">
        <v>35711</v>
      </c>
      <c r="F244" s="19">
        <v>35692</v>
      </c>
      <c r="G244">
        <v>3</v>
      </c>
      <c r="H244">
        <v>1.27</v>
      </c>
      <c r="I244" t="s">
        <v>981</v>
      </c>
      <c r="J244" t="s">
        <v>983</v>
      </c>
      <c r="K244" t="s">
        <v>984</v>
      </c>
      <c r="M244" t="s">
        <v>985</v>
      </c>
      <c r="N244" t="s">
        <v>986</v>
      </c>
    </row>
    <row r="245" spans="1:14" x14ac:dyDescent="0.2">
      <c r="A245">
        <v>10963</v>
      </c>
      <c r="B245" t="s">
        <v>980</v>
      </c>
      <c r="C245">
        <v>9</v>
      </c>
      <c r="D245" s="19">
        <v>35873</v>
      </c>
      <c r="E245" s="19">
        <v>35901</v>
      </c>
      <c r="F245" s="19">
        <v>35880</v>
      </c>
      <c r="G245">
        <v>3</v>
      </c>
      <c r="H245">
        <v>2.7</v>
      </c>
      <c r="I245" t="s">
        <v>981</v>
      </c>
      <c r="J245" t="s">
        <v>983</v>
      </c>
      <c r="K245" t="s">
        <v>984</v>
      </c>
      <c r="M245" t="s">
        <v>985</v>
      </c>
      <c r="N245" t="s">
        <v>986</v>
      </c>
    </row>
    <row r="246" spans="1:14" x14ac:dyDescent="0.2">
      <c r="A246">
        <v>10366</v>
      </c>
      <c r="B246" t="s">
        <v>989</v>
      </c>
      <c r="C246">
        <v>8</v>
      </c>
      <c r="D246" s="19">
        <v>35397</v>
      </c>
      <c r="E246" s="19">
        <v>35439</v>
      </c>
      <c r="F246" s="19">
        <v>35429</v>
      </c>
      <c r="G246">
        <v>2</v>
      </c>
      <c r="H246">
        <v>10.14</v>
      </c>
      <c r="I246" t="s">
        <v>1504</v>
      </c>
      <c r="J246" t="s">
        <v>992</v>
      </c>
      <c r="K246" t="s">
        <v>993</v>
      </c>
      <c r="M246" t="s">
        <v>1505</v>
      </c>
      <c r="N246" t="s">
        <v>824</v>
      </c>
    </row>
    <row r="247" spans="1:14" x14ac:dyDescent="0.2">
      <c r="A247">
        <v>10426</v>
      </c>
      <c r="B247" t="s">
        <v>989</v>
      </c>
      <c r="C247">
        <v>4</v>
      </c>
      <c r="D247" s="19">
        <v>35457</v>
      </c>
      <c r="E247" s="19">
        <v>35485</v>
      </c>
      <c r="F247" s="19">
        <v>35467</v>
      </c>
      <c r="G247">
        <v>1</v>
      </c>
      <c r="H247">
        <v>18.690000000000001</v>
      </c>
      <c r="I247" t="s">
        <v>1504</v>
      </c>
      <c r="J247" t="s">
        <v>992</v>
      </c>
      <c r="K247" t="s">
        <v>993</v>
      </c>
      <c r="M247" t="s">
        <v>1505</v>
      </c>
      <c r="N247" t="s">
        <v>824</v>
      </c>
    </row>
    <row r="248" spans="1:14" x14ac:dyDescent="0.2">
      <c r="A248">
        <v>10568</v>
      </c>
      <c r="B248" t="s">
        <v>989</v>
      </c>
      <c r="C248">
        <v>3</v>
      </c>
      <c r="D248" s="19">
        <v>35594</v>
      </c>
      <c r="E248" s="19">
        <v>35622</v>
      </c>
      <c r="F248" s="19">
        <v>35620</v>
      </c>
      <c r="G248">
        <v>3</v>
      </c>
      <c r="H248">
        <v>6.54</v>
      </c>
      <c r="I248" t="s">
        <v>1504</v>
      </c>
      <c r="J248" t="s">
        <v>992</v>
      </c>
      <c r="K248" t="s">
        <v>993</v>
      </c>
      <c r="M248" t="s">
        <v>1505</v>
      </c>
      <c r="N248" t="s">
        <v>824</v>
      </c>
    </row>
    <row r="249" spans="1:14" x14ac:dyDescent="0.2">
      <c r="A249">
        <v>10887</v>
      </c>
      <c r="B249" t="s">
        <v>989</v>
      </c>
      <c r="C249">
        <v>8</v>
      </c>
      <c r="D249" s="19">
        <v>35839</v>
      </c>
      <c r="E249" s="19">
        <v>35867</v>
      </c>
      <c r="F249" s="19">
        <v>35842</v>
      </c>
      <c r="G249">
        <v>3</v>
      </c>
      <c r="H249">
        <v>1.25</v>
      </c>
      <c r="I249" t="s">
        <v>1504</v>
      </c>
      <c r="J249" t="s">
        <v>992</v>
      </c>
      <c r="K249" t="s">
        <v>993</v>
      </c>
      <c r="M249" t="s">
        <v>1505</v>
      </c>
      <c r="N249" t="s">
        <v>824</v>
      </c>
    </row>
    <row r="250" spans="1:14" x14ac:dyDescent="0.2">
      <c r="A250">
        <v>10928</v>
      </c>
      <c r="B250" t="s">
        <v>989</v>
      </c>
      <c r="C250">
        <v>1</v>
      </c>
      <c r="D250" s="19">
        <v>35859</v>
      </c>
      <c r="E250" s="19">
        <v>35887</v>
      </c>
      <c r="F250" s="19">
        <v>35872</v>
      </c>
      <c r="G250">
        <v>1</v>
      </c>
      <c r="H250">
        <v>1.36</v>
      </c>
      <c r="I250" t="s">
        <v>1504</v>
      </c>
      <c r="J250" t="s">
        <v>992</v>
      </c>
      <c r="K250" t="s">
        <v>993</v>
      </c>
      <c r="M250" t="s">
        <v>1505</v>
      </c>
      <c r="N250" t="s">
        <v>824</v>
      </c>
    </row>
    <row r="251" spans="1:14" x14ac:dyDescent="0.2">
      <c r="A251">
        <v>10303</v>
      </c>
      <c r="B251" t="s">
        <v>997</v>
      </c>
      <c r="C251">
        <v>7</v>
      </c>
      <c r="D251" s="19">
        <v>35319</v>
      </c>
      <c r="E251" s="19">
        <v>35347</v>
      </c>
      <c r="F251" s="19">
        <v>35326</v>
      </c>
      <c r="G251">
        <v>2</v>
      </c>
      <c r="H251">
        <v>107.83</v>
      </c>
      <c r="I251" t="s">
        <v>998</v>
      </c>
      <c r="J251" t="s">
        <v>1000</v>
      </c>
      <c r="K251" t="s">
        <v>1001</v>
      </c>
      <c r="M251" t="s">
        <v>1002</v>
      </c>
      <c r="N251" t="s">
        <v>824</v>
      </c>
    </row>
    <row r="252" spans="1:14" x14ac:dyDescent="0.2">
      <c r="A252">
        <v>10550</v>
      </c>
      <c r="B252" t="s">
        <v>997</v>
      </c>
      <c r="C252">
        <v>7</v>
      </c>
      <c r="D252" s="19">
        <v>35578</v>
      </c>
      <c r="E252" s="19">
        <v>35606</v>
      </c>
      <c r="F252" s="19">
        <v>35587</v>
      </c>
      <c r="G252">
        <v>3</v>
      </c>
      <c r="H252">
        <v>4.32</v>
      </c>
      <c r="I252" t="s">
        <v>998</v>
      </c>
      <c r="J252" t="s">
        <v>1000</v>
      </c>
      <c r="K252" t="s">
        <v>1001</v>
      </c>
      <c r="M252" t="s">
        <v>1002</v>
      </c>
      <c r="N252" t="s">
        <v>824</v>
      </c>
    </row>
    <row r="253" spans="1:14" x14ac:dyDescent="0.2">
      <c r="A253">
        <v>10629</v>
      </c>
      <c r="B253" t="s">
        <v>997</v>
      </c>
      <c r="C253">
        <v>4</v>
      </c>
      <c r="D253" s="19">
        <v>35654</v>
      </c>
      <c r="E253" s="19">
        <v>35682</v>
      </c>
      <c r="F253" s="19">
        <v>35662</v>
      </c>
      <c r="G253">
        <v>3</v>
      </c>
      <c r="H253">
        <v>85.46</v>
      </c>
      <c r="I253" t="s">
        <v>998</v>
      </c>
      <c r="J253" t="s">
        <v>1000</v>
      </c>
      <c r="K253" t="s">
        <v>1001</v>
      </c>
      <c r="M253" t="s">
        <v>1002</v>
      </c>
      <c r="N253" t="s">
        <v>824</v>
      </c>
    </row>
    <row r="254" spans="1:14" x14ac:dyDescent="0.2">
      <c r="A254">
        <v>10872</v>
      </c>
      <c r="B254" t="s">
        <v>997</v>
      </c>
      <c r="C254">
        <v>5</v>
      </c>
      <c r="D254" s="19">
        <v>35831</v>
      </c>
      <c r="E254" s="19">
        <v>35859</v>
      </c>
      <c r="F254" s="19">
        <v>35835</v>
      </c>
      <c r="G254">
        <v>2</v>
      </c>
      <c r="H254">
        <v>175.32</v>
      </c>
      <c r="I254" t="s">
        <v>998</v>
      </c>
      <c r="J254" t="s">
        <v>1000</v>
      </c>
      <c r="K254" t="s">
        <v>1001</v>
      </c>
      <c r="M254" t="s">
        <v>1002</v>
      </c>
      <c r="N254" t="s">
        <v>824</v>
      </c>
    </row>
    <row r="255" spans="1:14" x14ac:dyDescent="0.2">
      <c r="A255">
        <v>10874</v>
      </c>
      <c r="B255" t="s">
        <v>997</v>
      </c>
      <c r="C255">
        <v>5</v>
      </c>
      <c r="D255" s="19">
        <v>35832</v>
      </c>
      <c r="E255" s="19">
        <v>35860</v>
      </c>
      <c r="F255" s="19">
        <v>35837</v>
      </c>
      <c r="G255">
        <v>2</v>
      </c>
      <c r="H255">
        <v>19.579999999999998</v>
      </c>
      <c r="I255" t="s">
        <v>998</v>
      </c>
      <c r="J255" t="s">
        <v>1000</v>
      </c>
      <c r="K255" t="s">
        <v>1001</v>
      </c>
      <c r="M255" t="s">
        <v>1002</v>
      </c>
      <c r="N255" t="s">
        <v>824</v>
      </c>
    </row>
    <row r="256" spans="1:14" x14ac:dyDescent="0.2">
      <c r="A256">
        <v>10888</v>
      </c>
      <c r="B256" t="s">
        <v>997</v>
      </c>
      <c r="C256">
        <v>1</v>
      </c>
      <c r="D256" s="19">
        <v>35842</v>
      </c>
      <c r="E256" s="19">
        <v>35870</v>
      </c>
      <c r="F256" s="19">
        <v>35849</v>
      </c>
      <c r="G256">
        <v>2</v>
      </c>
      <c r="H256">
        <v>51.87</v>
      </c>
      <c r="I256" t="s">
        <v>998</v>
      </c>
      <c r="J256" t="s">
        <v>1000</v>
      </c>
      <c r="K256" t="s">
        <v>1001</v>
      </c>
      <c r="M256" t="s">
        <v>1002</v>
      </c>
      <c r="N256" t="s">
        <v>824</v>
      </c>
    </row>
    <row r="257" spans="1:14" x14ac:dyDescent="0.2">
      <c r="A257">
        <v>10911</v>
      </c>
      <c r="B257" t="s">
        <v>997</v>
      </c>
      <c r="C257">
        <v>3</v>
      </c>
      <c r="D257" s="19">
        <v>35852</v>
      </c>
      <c r="E257" s="19">
        <v>35880</v>
      </c>
      <c r="F257" s="19">
        <v>35859</v>
      </c>
      <c r="G257">
        <v>1</v>
      </c>
      <c r="H257">
        <v>38.19</v>
      </c>
      <c r="I257" t="s">
        <v>998</v>
      </c>
      <c r="J257" t="s">
        <v>1000</v>
      </c>
      <c r="K257" t="s">
        <v>1001</v>
      </c>
      <c r="M257" t="s">
        <v>1002</v>
      </c>
      <c r="N257" t="s">
        <v>824</v>
      </c>
    </row>
    <row r="258" spans="1:14" x14ac:dyDescent="0.2">
      <c r="A258">
        <v>10948</v>
      </c>
      <c r="B258" t="s">
        <v>997</v>
      </c>
      <c r="C258">
        <v>3</v>
      </c>
      <c r="D258" s="19">
        <v>35867</v>
      </c>
      <c r="E258" s="19">
        <v>35895</v>
      </c>
      <c r="F258" s="19">
        <v>35873</v>
      </c>
      <c r="G258">
        <v>3</v>
      </c>
      <c r="H258">
        <v>23.39</v>
      </c>
      <c r="I258" t="s">
        <v>998</v>
      </c>
      <c r="J258" t="s">
        <v>1000</v>
      </c>
      <c r="K258" t="s">
        <v>1001</v>
      </c>
      <c r="M258" t="s">
        <v>1002</v>
      </c>
      <c r="N258" t="s">
        <v>824</v>
      </c>
    </row>
    <row r="259" spans="1:14" x14ac:dyDescent="0.2">
      <c r="A259">
        <v>11009</v>
      </c>
      <c r="B259" t="s">
        <v>997</v>
      </c>
      <c r="C259">
        <v>2</v>
      </c>
      <c r="D259" s="19">
        <v>35893</v>
      </c>
      <c r="E259" s="19">
        <v>35921</v>
      </c>
      <c r="F259" s="19">
        <v>35895</v>
      </c>
      <c r="G259">
        <v>1</v>
      </c>
      <c r="H259">
        <v>59.11</v>
      </c>
      <c r="I259" t="s">
        <v>998</v>
      </c>
      <c r="J259" t="s">
        <v>1000</v>
      </c>
      <c r="K259" t="s">
        <v>1001</v>
      </c>
      <c r="M259" t="s">
        <v>1002</v>
      </c>
      <c r="N259" t="s">
        <v>824</v>
      </c>
    </row>
    <row r="260" spans="1:14" x14ac:dyDescent="0.2">
      <c r="A260">
        <v>11037</v>
      </c>
      <c r="B260" t="s">
        <v>997</v>
      </c>
      <c r="C260">
        <v>7</v>
      </c>
      <c r="D260" s="19">
        <v>35906</v>
      </c>
      <c r="E260" s="19">
        <v>35934</v>
      </c>
      <c r="F260" s="19">
        <v>35912</v>
      </c>
      <c r="G260">
        <v>1</v>
      </c>
      <c r="H260">
        <v>3.2</v>
      </c>
      <c r="I260" t="s">
        <v>998</v>
      </c>
      <c r="J260" t="s">
        <v>1000</v>
      </c>
      <c r="K260" t="s">
        <v>1001</v>
      </c>
      <c r="M260" t="s">
        <v>1002</v>
      </c>
      <c r="N260" t="s">
        <v>824</v>
      </c>
    </row>
    <row r="261" spans="1:14" x14ac:dyDescent="0.2">
      <c r="A261">
        <v>10423</v>
      </c>
      <c r="B261" t="s">
        <v>1004</v>
      </c>
      <c r="C261">
        <v>6</v>
      </c>
      <c r="D261" s="19">
        <v>35453</v>
      </c>
      <c r="E261" s="19">
        <v>35467</v>
      </c>
      <c r="F261" s="19">
        <v>35485</v>
      </c>
      <c r="G261">
        <v>3</v>
      </c>
      <c r="H261">
        <v>24.5</v>
      </c>
      <c r="I261" t="s">
        <v>1005</v>
      </c>
      <c r="J261" t="s">
        <v>1007</v>
      </c>
      <c r="K261" t="s">
        <v>1008</v>
      </c>
      <c r="L261" t="s">
        <v>883</v>
      </c>
      <c r="M261" t="s">
        <v>1009</v>
      </c>
      <c r="N261" t="s">
        <v>885</v>
      </c>
    </row>
    <row r="262" spans="1:14" x14ac:dyDescent="0.2">
      <c r="A262">
        <v>10652</v>
      </c>
      <c r="B262" t="s">
        <v>1004</v>
      </c>
      <c r="C262">
        <v>4</v>
      </c>
      <c r="D262" s="19">
        <v>35674</v>
      </c>
      <c r="E262" s="19">
        <v>35702</v>
      </c>
      <c r="F262" s="19">
        <v>35681</v>
      </c>
      <c r="G262">
        <v>2</v>
      </c>
      <c r="H262">
        <v>7.14</v>
      </c>
      <c r="I262" t="s">
        <v>1005</v>
      </c>
      <c r="J262" t="s">
        <v>1007</v>
      </c>
      <c r="K262" t="s">
        <v>1008</v>
      </c>
      <c r="L262" t="s">
        <v>883</v>
      </c>
      <c r="M262" t="s">
        <v>1009</v>
      </c>
      <c r="N262" t="s">
        <v>885</v>
      </c>
    </row>
    <row r="263" spans="1:14" x14ac:dyDescent="0.2">
      <c r="A263">
        <v>10685</v>
      </c>
      <c r="B263" t="s">
        <v>1004</v>
      </c>
      <c r="C263">
        <v>4</v>
      </c>
      <c r="D263" s="19">
        <v>35702</v>
      </c>
      <c r="E263" s="19">
        <v>35716</v>
      </c>
      <c r="F263" s="19">
        <v>35706</v>
      </c>
      <c r="G263">
        <v>2</v>
      </c>
      <c r="H263">
        <v>33.75</v>
      </c>
      <c r="I263" t="s">
        <v>1005</v>
      </c>
      <c r="J263" t="s">
        <v>1007</v>
      </c>
      <c r="K263" t="s">
        <v>1008</v>
      </c>
      <c r="L263" t="s">
        <v>883</v>
      </c>
      <c r="M263" t="s">
        <v>1009</v>
      </c>
      <c r="N263" t="s">
        <v>885</v>
      </c>
    </row>
    <row r="264" spans="1:14" x14ac:dyDescent="0.2">
      <c r="A264">
        <v>10709</v>
      </c>
      <c r="B264" t="s">
        <v>1004</v>
      </c>
      <c r="C264">
        <v>1</v>
      </c>
      <c r="D264" s="19">
        <v>35720</v>
      </c>
      <c r="E264" s="19">
        <v>35748</v>
      </c>
      <c r="F264" s="19">
        <v>35754</v>
      </c>
      <c r="G264">
        <v>3</v>
      </c>
      <c r="H264">
        <v>210.8</v>
      </c>
      <c r="I264" t="s">
        <v>1005</v>
      </c>
      <c r="J264" t="s">
        <v>1007</v>
      </c>
      <c r="K264" t="s">
        <v>1008</v>
      </c>
      <c r="L264" t="s">
        <v>883</v>
      </c>
      <c r="M264" t="s">
        <v>1009</v>
      </c>
      <c r="N264" t="s">
        <v>885</v>
      </c>
    </row>
    <row r="265" spans="1:14" x14ac:dyDescent="0.2">
      <c r="A265">
        <v>10734</v>
      </c>
      <c r="B265" t="s">
        <v>1004</v>
      </c>
      <c r="C265">
        <v>2</v>
      </c>
      <c r="D265" s="19">
        <v>35741</v>
      </c>
      <c r="E265" s="19">
        <v>35769</v>
      </c>
      <c r="F265" s="19">
        <v>35746</v>
      </c>
      <c r="G265">
        <v>3</v>
      </c>
      <c r="H265">
        <v>1.63</v>
      </c>
      <c r="I265" t="s">
        <v>1005</v>
      </c>
      <c r="J265" t="s">
        <v>1007</v>
      </c>
      <c r="K265" t="s">
        <v>1008</v>
      </c>
      <c r="L265" t="s">
        <v>883</v>
      </c>
      <c r="M265" t="s">
        <v>1009</v>
      </c>
      <c r="N265" t="s">
        <v>885</v>
      </c>
    </row>
    <row r="266" spans="1:14" x14ac:dyDescent="0.2">
      <c r="A266">
        <v>10777</v>
      </c>
      <c r="B266" t="s">
        <v>1004</v>
      </c>
      <c r="C266">
        <v>7</v>
      </c>
      <c r="D266" s="19">
        <v>35779</v>
      </c>
      <c r="E266" s="19">
        <v>35793</v>
      </c>
      <c r="F266" s="19">
        <v>35816</v>
      </c>
      <c r="G266">
        <v>2</v>
      </c>
      <c r="H266">
        <v>3.01</v>
      </c>
      <c r="I266" t="s">
        <v>1005</v>
      </c>
      <c r="J266" t="s">
        <v>1007</v>
      </c>
      <c r="K266" t="s">
        <v>1008</v>
      </c>
      <c r="L266" t="s">
        <v>883</v>
      </c>
      <c r="M266" t="s">
        <v>1009</v>
      </c>
      <c r="N266" t="s">
        <v>885</v>
      </c>
    </row>
    <row r="267" spans="1:14" x14ac:dyDescent="0.2">
      <c r="A267">
        <v>10790</v>
      </c>
      <c r="B267" t="s">
        <v>1004</v>
      </c>
      <c r="C267">
        <v>6</v>
      </c>
      <c r="D267" s="19">
        <v>35786</v>
      </c>
      <c r="E267" s="19">
        <v>35814</v>
      </c>
      <c r="F267" s="19">
        <v>35790</v>
      </c>
      <c r="G267">
        <v>1</v>
      </c>
      <c r="H267">
        <v>28.23</v>
      </c>
      <c r="I267" t="s">
        <v>1005</v>
      </c>
      <c r="J267" t="s">
        <v>1007</v>
      </c>
      <c r="K267" t="s">
        <v>1008</v>
      </c>
      <c r="L267" t="s">
        <v>883</v>
      </c>
      <c r="M267" t="s">
        <v>1009</v>
      </c>
      <c r="N267" t="s">
        <v>885</v>
      </c>
    </row>
    <row r="268" spans="1:14" x14ac:dyDescent="0.2">
      <c r="A268">
        <v>10959</v>
      </c>
      <c r="B268" t="s">
        <v>1004</v>
      </c>
      <c r="C268">
        <v>6</v>
      </c>
      <c r="D268" s="19">
        <v>35872</v>
      </c>
      <c r="E268" s="19">
        <v>35914</v>
      </c>
      <c r="F268" s="19">
        <v>35877</v>
      </c>
      <c r="G268">
        <v>2</v>
      </c>
      <c r="H268">
        <v>4.9800000000000004</v>
      </c>
      <c r="I268" t="s">
        <v>1005</v>
      </c>
      <c r="J268" t="s">
        <v>1007</v>
      </c>
      <c r="K268" t="s">
        <v>1008</v>
      </c>
      <c r="L268" t="s">
        <v>883</v>
      </c>
      <c r="M268" t="s">
        <v>1009</v>
      </c>
      <c r="N268" t="s">
        <v>885</v>
      </c>
    </row>
    <row r="269" spans="1:14" x14ac:dyDescent="0.2">
      <c r="A269">
        <v>11049</v>
      </c>
      <c r="B269" t="s">
        <v>1004</v>
      </c>
      <c r="C269">
        <v>3</v>
      </c>
      <c r="D269" s="19">
        <v>35909</v>
      </c>
      <c r="E269" s="19">
        <v>35937</v>
      </c>
      <c r="F269" s="19">
        <v>35919</v>
      </c>
      <c r="G269">
        <v>1</v>
      </c>
      <c r="H269">
        <v>8.34</v>
      </c>
      <c r="I269" t="s">
        <v>1005</v>
      </c>
      <c r="J269" t="s">
        <v>1007</v>
      </c>
      <c r="K269" t="s">
        <v>1008</v>
      </c>
      <c r="L269" t="s">
        <v>883</v>
      </c>
      <c r="M269" t="s">
        <v>1009</v>
      </c>
      <c r="N269" t="s">
        <v>885</v>
      </c>
    </row>
    <row r="270" spans="1:14" x14ac:dyDescent="0.2">
      <c r="A270">
        <v>10528</v>
      </c>
      <c r="B270" t="s">
        <v>1011</v>
      </c>
      <c r="C270">
        <v>6</v>
      </c>
      <c r="D270" s="19">
        <v>35556</v>
      </c>
      <c r="E270" s="19">
        <v>35570</v>
      </c>
      <c r="F270" s="19">
        <v>35559</v>
      </c>
      <c r="G270">
        <v>2</v>
      </c>
      <c r="H270">
        <v>3.35</v>
      </c>
      <c r="I270" t="s">
        <v>1012</v>
      </c>
      <c r="J270" t="s">
        <v>1014</v>
      </c>
      <c r="K270" t="s">
        <v>1015</v>
      </c>
      <c r="L270" t="s">
        <v>1016</v>
      </c>
      <c r="M270" t="s">
        <v>1017</v>
      </c>
      <c r="N270" t="s">
        <v>1018</v>
      </c>
    </row>
    <row r="271" spans="1:14" x14ac:dyDescent="0.2">
      <c r="A271">
        <v>10589</v>
      </c>
      <c r="B271" t="s">
        <v>1011</v>
      </c>
      <c r="C271">
        <v>8</v>
      </c>
      <c r="D271" s="19">
        <v>35615</v>
      </c>
      <c r="E271" s="19">
        <v>35643</v>
      </c>
      <c r="F271" s="19">
        <v>35625</v>
      </c>
      <c r="G271">
        <v>2</v>
      </c>
      <c r="H271">
        <v>4.42</v>
      </c>
      <c r="I271" t="s">
        <v>1012</v>
      </c>
      <c r="J271" t="s">
        <v>1014</v>
      </c>
      <c r="K271" t="s">
        <v>1015</v>
      </c>
      <c r="L271" t="s">
        <v>1016</v>
      </c>
      <c r="M271" t="s">
        <v>1017</v>
      </c>
      <c r="N271" t="s">
        <v>1018</v>
      </c>
    </row>
    <row r="272" spans="1:14" x14ac:dyDescent="0.2">
      <c r="A272">
        <v>10616</v>
      </c>
      <c r="B272" t="s">
        <v>1011</v>
      </c>
      <c r="C272">
        <v>1</v>
      </c>
      <c r="D272" s="19">
        <v>35642</v>
      </c>
      <c r="E272" s="19">
        <v>35670</v>
      </c>
      <c r="F272" s="19">
        <v>35647</v>
      </c>
      <c r="G272">
        <v>2</v>
      </c>
      <c r="H272">
        <v>116.53</v>
      </c>
      <c r="I272" t="s">
        <v>1012</v>
      </c>
      <c r="J272" t="s">
        <v>1014</v>
      </c>
      <c r="K272" t="s">
        <v>1015</v>
      </c>
      <c r="L272" t="s">
        <v>1016</v>
      </c>
      <c r="M272" t="s">
        <v>1017</v>
      </c>
      <c r="N272" t="s">
        <v>1018</v>
      </c>
    </row>
    <row r="273" spans="1:14" x14ac:dyDescent="0.2">
      <c r="A273">
        <v>10617</v>
      </c>
      <c r="B273" t="s">
        <v>1011</v>
      </c>
      <c r="C273">
        <v>4</v>
      </c>
      <c r="D273" s="19">
        <v>35642</v>
      </c>
      <c r="E273" s="19">
        <v>35670</v>
      </c>
      <c r="F273" s="19">
        <v>35646</v>
      </c>
      <c r="G273">
        <v>2</v>
      </c>
      <c r="H273">
        <v>18.53</v>
      </c>
      <c r="I273" t="s">
        <v>1012</v>
      </c>
      <c r="J273" t="s">
        <v>1014</v>
      </c>
      <c r="K273" t="s">
        <v>1015</v>
      </c>
      <c r="L273" t="s">
        <v>1016</v>
      </c>
      <c r="M273" t="s">
        <v>1017</v>
      </c>
      <c r="N273" t="s">
        <v>1018</v>
      </c>
    </row>
    <row r="274" spans="1:14" x14ac:dyDescent="0.2">
      <c r="A274">
        <v>10656</v>
      </c>
      <c r="B274" t="s">
        <v>1011</v>
      </c>
      <c r="C274">
        <v>6</v>
      </c>
      <c r="D274" s="19">
        <v>35677</v>
      </c>
      <c r="E274" s="19">
        <v>35705</v>
      </c>
      <c r="F274" s="19">
        <v>35683</v>
      </c>
      <c r="G274">
        <v>1</v>
      </c>
      <c r="H274">
        <v>57.15</v>
      </c>
      <c r="I274" t="s">
        <v>1012</v>
      </c>
      <c r="J274" t="s">
        <v>1014</v>
      </c>
      <c r="K274" t="s">
        <v>1015</v>
      </c>
      <c r="L274" t="s">
        <v>1016</v>
      </c>
      <c r="M274" t="s">
        <v>1017</v>
      </c>
      <c r="N274" t="s">
        <v>1018</v>
      </c>
    </row>
    <row r="275" spans="1:14" x14ac:dyDescent="0.2">
      <c r="A275">
        <v>10681</v>
      </c>
      <c r="B275" t="s">
        <v>1011</v>
      </c>
      <c r="C275">
        <v>3</v>
      </c>
      <c r="D275" s="19">
        <v>35698</v>
      </c>
      <c r="E275" s="19">
        <v>35726</v>
      </c>
      <c r="F275" s="19">
        <v>35703</v>
      </c>
      <c r="G275">
        <v>3</v>
      </c>
      <c r="H275">
        <v>76.13</v>
      </c>
      <c r="I275" t="s">
        <v>1012</v>
      </c>
      <c r="J275" t="s">
        <v>1014</v>
      </c>
      <c r="K275" t="s">
        <v>1015</v>
      </c>
      <c r="L275" t="s">
        <v>1016</v>
      </c>
      <c r="M275" t="s">
        <v>1017</v>
      </c>
      <c r="N275" t="s">
        <v>1018</v>
      </c>
    </row>
    <row r="276" spans="1:14" x14ac:dyDescent="0.2">
      <c r="A276">
        <v>10816</v>
      </c>
      <c r="B276" t="s">
        <v>1011</v>
      </c>
      <c r="C276">
        <v>4</v>
      </c>
      <c r="D276" s="19">
        <v>35801</v>
      </c>
      <c r="E276" s="19">
        <v>35829</v>
      </c>
      <c r="F276" s="19">
        <v>35830</v>
      </c>
      <c r="G276">
        <v>2</v>
      </c>
      <c r="H276">
        <v>719.78</v>
      </c>
      <c r="I276" t="s">
        <v>1012</v>
      </c>
      <c r="J276" t="s">
        <v>1014</v>
      </c>
      <c r="K276" t="s">
        <v>1015</v>
      </c>
      <c r="L276" t="s">
        <v>1016</v>
      </c>
      <c r="M276" t="s">
        <v>1017</v>
      </c>
      <c r="N276" t="s">
        <v>1018</v>
      </c>
    </row>
    <row r="277" spans="1:14" x14ac:dyDescent="0.2">
      <c r="A277">
        <v>10936</v>
      </c>
      <c r="B277" t="s">
        <v>1011</v>
      </c>
      <c r="C277">
        <v>3</v>
      </c>
      <c r="D277" s="19">
        <v>35863</v>
      </c>
      <c r="E277" s="19">
        <v>35891</v>
      </c>
      <c r="F277" s="19">
        <v>35872</v>
      </c>
      <c r="G277">
        <v>2</v>
      </c>
      <c r="H277">
        <v>33.68</v>
      </c>
      <c r="I277" t="s">
        <v>1012</v>
      </c>
      <c r="J277" t="s">
        <v>1014</v>
      </c>
      <c r="K277" t="s">
        <v>1015</v>
      </c>
      <c r="L277" t="s">
        <v>1016</v>
      </c>
      <c r="M277" t="s">
        <v>1017</v>
      </c>
      <c r="N277" t="s">
        <v>1018</v>
      </c>
    </row>
    <row r="278" spans="1:14" x14ac:dyDescent="0.2">
      <c r="A278">
        <v>11006</v>
      </c>
      <c r="B278" t="s">
        <v>1011</v>
      </c>
      <c r="C278">
        <v>3</v>
      </c>
      <c r="D278" s="19">
        <v>35892</v>
      </c>
      <c r="E278" s="19">
        <v>35920</v>
      </c>
      <c r="F278" s="19">
        <v>35900</v>
      </c>
      <c r="G278">
        <v>2</v>
      </c>
      <c r="H278">
        <v>25.19</v>
      </c>
      <c r="I278" t="s">
        <v>1012</v>
      </c>
      <c r="J278" t="s">
        <v>1014</v>
      </c>
      <c r="K278" t="s">
        <v>1015</v>
      </c>
      <c r="L278" t="s">
        <v>1016</v>
      </c>
      <c r="M278" t="s">
        <v>1017</v>
      </c>
      <c r="N278" t="s">
        <v>1018</v>
      </c>
    </row>
    <row r="279" spans="1:14" x14ac:dyDescent="0.2">
      <c r="A279">
        <v>11040</v>
      </c>
      <c r="B279" t="s">
        <v>1011</v>
      </c>
      <c r="C279">
        <v>4</v>
      </c>
      <c r="D279" s="19">
        <v>35907</v>
      </c>
      <c r="E279" s="19">
        <v>35935</v>
      </c>
      <c r="F279" s="19"/>
      <c r="G279">
        <v>3</v>
      </c>
      <c r="H279">
        <v>18.84</v>
      </c>
      <c r="I279" t="s">
        <v>1012</v>
      </c>
      <c r="J279" t="s">
        <v>1014</v>
      </c>
      <c r="K279" t="s">
        <v>1015</v>
      </c>
      <c r="L279" t="s">
        <v>1016</v>
      </c>
      <c r="M279" t="s">
        <v>1017</v>
      </c>
      <c r="N279" t="s">
        <v>1018</v>
      </c>
    </row>
    <row r="280" spans="1:14" x14ac:dyDescent="0.2">
      <c r="A280">
        <v>11061</v>
      </c>
      <c r="B280" t="s">
        <v>1011</v>
      </c>
      <c r="C280">
        <v>4</v>
      </c>
      <c r="D280" s="19">
        <v>35915</v>
      </c>
      <c r="E280" s="19">
        <v>35957</v>
      </c>
      <c r="F280" s="19"/>
      <c r="G280">
        <v>3</v>
      </c>
      <c r="H280">
        <v>14.01</v>
      </c>
      <c r="I280" t="s">
        <v>1012</v>
      </c>
      <c r="J280" t="s">
        <v>1014</v>
      </c>
      <c r="K280" t="s">
        <v>1015</v>
      </c>
      <c r="L280" t="s">
        <v>1016</v>
      </c>
      <c r="M280" t="s">
        <v>1017</v>
      </c>
      <c r="N280" t="s">
        <v>1018</v>
      </c>
    </row>
    <row r="281" spans="1:14" x14ac:dyDescent="0.2">
      <c r="A281">
        <v>10268</v>
      </c>
      <c r="B281" t="s">
        <v>1020</v>
      </c>
      <c r="C281">
        <v>8</v>
      </c>
      <c r="D281" s="19">
        <v>35276</v>
      </c>
      <c r="E281" s="19">
        <v>35304</v>
      </c>
      <c r="F281" s="19">
        <v>35279</v>
      </c>
      <c r="G281">
        <v>3</v>
      </c>
      <c r="H281">
        <v>66.290000000000006</v>
      </c>
      <c r="I281" t="s">
        <v>1021</v>
      </c>
      <c r="J281" t="s">
        <v>1023</v>
      </c>
      <c r="K281" t="s">
        <v>1024</v>
      </c>
      <c r="L281" t="s">
        <v>1025</v>
      </c>
      <c r="M281" t="s">
        <v>1026</v>
      </c>
      <c r="N281" t="s">
        <v>1027</v>
      </c>
    </row>
    <row r="282" spans="1:14" x14ac:dyDescent="0.2">
      <c r="A282">
        <v>10785</v>
      </c>
      <c r="B282" t="s">
        <v>1020</v>
      </c>
      <c r="C282">
        <v>1</v>
      </c>
      <c r="D282" s="19">
        <v>35782</v>
      </c>
      <c r="E282" s="19">
        <v>35810</v>
      </c>
      <c r="F282" s="19">
        <v>35788</v>
      </c>
      <c r="G282">
        <v>3</v>
      </c>
      <c r="H282">
        <v>1.51</v>
      </c>
      <c r="I282" t="s">
        <v>1021</v>
      </c>
      <c r="J282" t="s">
        <v>1023</v>
      </c>
      <c r="K282" t="s">
        <v>1024</v>
      </c>
      <c r="L282" t="s">
        <v>1025</v>
      </c>
      <c r="M282" t="s">
        <v>1026</v>
      </c>
      <c r="N282" t="s">
        <v>1027</v>
      </c>
    </row>
    <row r="283" spans="1:14" x14ac:dyDescent="0.2">
      <c r="A283">
        <v>10250</v>
      </c>
      <c r="B283" t="s">
        <v>1030</v>
      </c>
      <c r="C283">
        <v>4</v>
      </c>
      <c r="D283" s="19">
        <v>35254</v>
      </c>
      <c r="E283" s="19">
        <v>35282</v>
      </c>
      <c r="F283" s="19">
        <v>35258</v>
      </c>
      <c r="G283">
        <v>2</v>
      </c>
      <c r="H283">
        <v>65.83</v>
      </c>
      <c r="I283" t="s">
        <v>1031</v>
      </c>
      <c r="J283" t="s">
        <v>1033</v>
      </c>
      <c r="K283" t="s">
        <v>1034</v>
      </c>
      <c r="L283" t="s">
        <v>1035</v>
      </c>
      <c r="M283" t="s">
        <v>1036</v>
      </c>
      <c r="N283" t="s">
        <v>885</v>
      </c>
    </row>
    <row r="284" spans="1:14" x14ac:dyDescent="0.2">
      <c r="A284">
        <v>10253</v>
      </c>
      <c r="B284" t="s">
        <v>1030</v>
      </c>
      <c r="C284">
        <v>3</v>
      </c>
      <c r="D284" s="19">
        <v>35256</v>
      </c>
      <c r="E284" s="19">
        <v>35270</v>
      </c>
      <c r="F284" s="19">
        <v>35262</v>
      </c>
      <c r="G284">
        <v>2</v>
      </c>
      <c r="H284">
        <v>58.17</v>
      </c>
      <c r="I284" t="s">
        <v>1031</v>
      </c>
      <c r="J284" t="s">
        <v>1033</v>
      </c>
      <c r="K284" t="s">
        <v>1034</v>
      </c>
      <c r="L284" t="s">
        <v>1035</v>
      </c>
      <c r="M284" t="s">
        <v>1036</v>
      </c>
      <c r="N284" t="s">
        <v>885</v>
      </c>
    </row>
    <row r="285" spans="1:14" x14ac:dyDescent="0.2">
      <c r="A285">
        <v>10541</v>
      </c>
      <c r="B285" t="s">
        <v>1030</v>
      </c>
      <c r="C285">
        <v>2</v>
      </c>
      <c r="D285" s="19">
        <v>35569</v>
      </c>
      <c r="E285" s="19">
        <v>35597</v>
      </c>
      <c r="F285" s="19">
        <v>35579</v>
      </c>
      <c r="G285">
        <v>1</v>
      </c>
      <c r="H285">
        <v>68.650000000000006</v>
      </c>
      <c r="I285" t="s">
        <v>1031</v>
      </c>
      <c r="J285" t="s">
        <v>1033</v>
      </c>
      <c r="K285" t="s">
        <v>1034</v>
      </c>
      <c r="L285" t="s">
        <v>1035</v>
      </c>
      <c r="M285" t="s">
        <v>1036</v>
      </c>
      <c r="N285" t="s">
        <v>885</v>
      </c>
    </row>
    <row r="286" spans="1:14" x14ac:dyDescent="0.2">
      <c r="A286">
        <v>10645</v>
      </c>
      <c r="B286" t="s">
        <v>1030</v>
      </c>
      <c r="C286">
        <v>4</v>
      </c>
      <c r="D286" s="19">
        <v>35668</v>
      </c>
      <c r="E286" s="19">
        <v>35696</v>
      </c>
      <c r="F286" s="19">
        <v>35675</v>
      </c>
      <c r="G286">
        <v>1</v>
      </c>
      <c r="H286">
        <v>12.41</v>
      </c>
      <c r="I286" t="s">
        <v>1031</v>
      </c>
      <c r="J286" t="s">
        <v>1033</v>
      </c>
      <c r="K286" t="s">
        <v>1034</v>
      </c>
      <c r="L286" t="s">
        <v>1035</v>
      </c>
      <c r="M286" t="s">
        <v>1036</v>
      </c>
      <c r="N286" t="s">
        <v>885</v>
      </c>
    </row>
    <row r="287" spans="1:14" x14ac:dyDescent="0.2">
      <c r="A287">
        <v>10690</v>
      </c>
      <c r="B287" t="s">
        <v>1030</v>
      </c>
      <c r="C287">
        <v>1</v>
      </c>
      <c r="D287" s="19">
        <v>35705</v>
      </c>
      <c r="E287" s="19">
        <v>35733</v>
      </c>
      <c r="F287" s="19">
        <v>35706</v>
      </c>
      <c r="G287">
        <v>1</v>
      </c>
      <c r="H287">
        <v>15.8</v>
      </c>
      <c r="I287" t="s">
        <v>1031</v>
      </c>
      <c r="J287" t="s">
        <v>1033</v>
      </c>
      <c r="K287" t="s">
        <v>1034</v>
      </c>
      <c r="L287" t="s">
        <v>1035</v>
      </c>
      <c r="M287" t="s">
        <v>1036</v>
      </c>
      <c r="N287" t="s">
        <v>885</v>
      </c>
    </row>
    <row r="288" spans="1:14" x14ac:dyDescent="0.2">
      <c r="A288">
        <v>10770</v>
      </c>
      <c r="B288" t="s">
        <v>1030</v>
      </c>
      <c r="C288">
        <v>8</v>
      </c>
      <c r="D288" s="19">
        <v>35773</v>
      </c>
      <c r="E288" s="19">
        <v>35801</v>
      </c>
      <c r="F288" s="19">
        <v>35781</v>
      </c>
      <c r="G288">
        <v>3</v>
      </c>
      <c r="H288">
        <v>5.32</v>
      </c>
      <c r="I288" t="s">
        <v>1031</v>
      </c>
      <c r="J288" t="s">
        <v>1033</v>
      </c>
      <c r="K288" t="s">
        <v>1034</v>
      </c>
      <c r="L288" t="s">
        <v>1035</v>
      </c>
      <c r="M288" t="s">
        <v>1036</v>
      </c>
      <c r="N288" t="s">
        <v>885</v>
      </c>
    </row>
    <row r="289" spans="1:14" x14ac:dyDescent="0.2">
      <c r="A289">
        <v>10783</v>
      </c>
      <c r="B289" t="s">
        <v>1030</v>
      </c>
      <c r="C289">
        <v>4</v>
      </c>
      <c r="D289" s="19">
        <v>35782</v>
      </c>
      <c r="E289" s="19">
        <v>35810</v>
      </c>
      <c r="F289" s="19">
        <v>35783</v>
      </c>
      <c r="G289">
        <v>2</v>
      </c>
      <c r="H289">
        <v>124.98</v>
      </c>
      <c r="I289" t="s">
        <v>1031</v>
      </c>
      <c r="J289" t="s">
        <v>1033</v>
      </c>
      <c r="K289" t="s">
        <v>1034</v>
      </c>
      <c r="L289" t="s">
        <v>1035</v>
      </c>
      <c r="M289" t="s">
        <v>1036</v>
      </c>
      <c r="N289" t="s">
        <v>885</v>
      </c>
    </row>
    <row r="290" spans="1:14" x14ac:dyDescent="0.2">
      <c r="A290">
        <v>10886</v>
      </c>
      <c r="B290" t="s">
        <v>1030</v>
      </c>
      <c r="C290">
        <v>1</v>
      </c>
      <c r="D290" s="19">
        <v>35839</v>
      </c>
      <c r="E290" s="19">
        <v>35867</v>
      </c>
      <c r="F290" s="19">
        <v>35856</v>
      </c>
      <c r="G290">
        <v>1</v>
      </c>
      <c r="H290">
        <v>4.99</v>
      </c>
      <c r="I290" t="s">
        <v>1031</v>
      </c>
      <c r="J290" t="s">
        <v>1033</v>
      </c>
      <c r="K290" t="s">
        <v>1034</v>
      </c>
      <c r="L290" t="s">
        <v>1035</v>
      </c>
      <c r="M290" t="s">
        <v>1036</v>
      </c>
      <c r="N290" t="s">
        <v>885</v>
      </c>
    </row>
    <row r="291" spans="1:14" x14ac:dyDescent="0.2">
      <c r="A291">
        <v>10903</v>
      </c>
      <c r="B291" t="s">
        <v>1030</v>
      </c>
      <c r="C291">
        <v>3</v>
      </c>
      <c r="D291" s="19">
        <v>35850</v>
      </c>
      <c r="E291" s="19">
        <v>35878</v>
      </c>
      <c r="F291" s="19">
        <v>35858</v>
      </c>
      <c r="G291">
        <v>3</v>
      </c>
      <c r="H291">
        <v>36.71</v>
      </c>
      <c r="I291" t="s">
        <v>1031</v>
      </c>
      <c r="J291" t="s">
        <v>1033</v>
      </c>
      <c r="K291" t="s">
        <v>1034</v>
      </c>
      <c r="L291" t="s">
        <v>1035</v>
      </c>
      <c r="M291" t="s">
        <v>1036</v>
      </c>
      <c r="N291" t="s">
        <v>885</v>
      </c>
    </row>
    <row r="292" spans="1:14" x14ac:dyDescent="0.2">
      <c r="A292">
        <v>10922</v>
      </c>
      <c r="B292" t="s">
        <v>1030</v>
      </c>
      <c r="C292">
        <v>5</v>
      </c>
      <c r="D292" s="19">
        <v>35857</v>
      </c>
      <c r="E292" s="19">
        <v>35885</v>
      </c>
      <c r="F292" s="19">
        <v>35859</v>
      </c>
      <c r="G292">
        <v>3</v>
      </c>
      <c r="H292">
        <v>62.74</v>
      </c>
      <c r="I292" t="s">
        <v>1031</v>
      </c>
      <c r="J292" t="s">
        <v>1033</v>
      </c>
      <c r="K292" t="s">
        <v>1034</v>
      </c>
      <c r="L292" t="s">
        <v>1035</v>
      </c>
      <c r="M292" t="s">
        <v>1036</v>
      </c>
      <c r="N292" t="s">
        <v>885</v>
      </c>
    </row>
    <row r="293" spans="1:14" x14ac:dyDescent="0.2">
      <c r="A293">
        <v>10925</v>
      </c>
      <c r="B293" t="s">
        <v>1030</v>
      </c>
      <c r="C293">
        <v>3</v>
      </c>
      <c r="D293" s="19">
        <v>35858</v>
      </c>
      <c r="E293" s="19">
        <v>35886</v>
      </c>
      <c r="F293" s="19">
        <v>35867</v>
      </c>
      <c r="G293">
        <v>1</v>
      </c>
      <c r="H293">
        <v>2.27</v>
      </c>
      <c r="I293" t="s">
        <v>1031</v>
      </c>
      <c r="J293" t="s">
        <v>1033</v>
      </c>
      <c r="K293" t="s">
        <v>1034</v>
      </c>
      <c r="L293" t="s">
        <v>1035</v>
      </c>
      <c r="M293" t="s">
        <v>1036</v>
      </c>
      <c r="N293" t="s">
        <v>885</v>
      </c>
    </row>
    <row r="294" spans="1:14" x14ac:dyDescent="0.2">
      <c r="A294">
        <v>10981</v>
      </c>
      <c r="B294" t="s">
        <v>1030</v>
      </c>
      <c r="C294">
        <v>1</v>
      </c>
      <c r="D294" s="19">
        <v>35881</v>
      </c>
      <c r="E294" s="19">
        <v>35909</v>
      </c>
      <c r="F294" s="19">
        <v>35887</v>
      </c>
      <c r="G294">
        <v>2</v>
      </c>
      <c r="H294">
        <v>193.37</v>
      </c>
      <c r="I294" t="s">
        <v>1031</v>
      </c>
      <c r="J294" t="s">
        <v>1033</v>
      </c>
      <c r="K294" t="s">
        <v>1034</v>
      </c>
      <c r="L294" t="s">
        <v>1035</v>
      </c>
      <c r="M294" t="s">
        <v>1036</v>
      </c>
      <c r="N294" t="s">
        <v>885</v>
      </c>
    </row>
    <row r="295" spans="1:14" x14ac:dyDescent="0.2">
      <c r="A295">
        <v>11022</v>
      </c>
      <c r="B295" t="s">
        <v>1030</v>
      </c>
      <c r="C295">
        <v>9</v>
      </c>
      <c r="D295" s="19">
        <v>35899</v>
      </c>
      <c r="E295" s="19">
        <v>35927</v>
      </c>
      <c r="F295" s="19">
        <v>35919</v>
      </c>
      <c r="G295">
        <v>2</v>
      </c>
      <c r="H295">
        <v>6.27</v>
      </c>
      <c r="I295" t="s">
        <v>1031</v>
      </c>
      <c r="J295" t="s">
        <v>1033</v>
      </c>
      <c r="K295" t="s">
        <v>1034</v>
      </c>
      <c r="L295" t="s">
        <v>1035</v>
      </c>
      <c r="M295" t="s">
        <v>1036</v>
      </c>
      <c r="N295" t="s">
        <v>885</v>
      </c>
    </row>
    <row r="296" spans="1:14" x14ac:dyDescent="0.2">
      <c r="A296">
        <v>11052</v>
      </c>
      <c r="B296" t="s">
        <v>1030</v>
      </c>
      <c r="C296">
        <v>3</v>
      </c>
      <c r="D296" s="19">
        <v>35912</v>
      </c>
      <c r="E296" s="19">
        <v>35940</v>
      </c>
      <c r="F296" s="19">
        <v>35916</v>
      </c>
      <c r="G296">
        <v>1</v>
      </c>
      <c r="H296">
        <v>67.260000000000005</v>
      </c>
      <c r="I296" t="s">
        <v>1031</v>
      </c>
      <c r="J296" t="s">
        <v>1033</v>
      </c>
      <c r="K296" t="s">
        <v>1034</v>
      </c>
      <c r="L296" t="s">
        <v>1035</v>
      </c>
      <c r="M296" t="s">
        <v>1036</v>
      </c>
      <c r="N296" t="s">
        <v>885</v>
      </c>
    </row>
    <row r="297" spans="1:14" x14ac:dyDescent="0.2">
      <c r="A297">
        <v>10257</v>
      </c>
      <c r="B297" t="s">
        <v>1039</v>
      </c>
      <c r="C297">
        <v>4</v>
      </c>
      <c r="D297" s="19">
        <v>35262</v>
      </c>
      <c r="E297" s="19">
        <v>35290</v>
      </c>
      <c r="F297" s="19">
        <v>35268</v>
      </c>
      <c r="G297">
        <v>3</v>
      </c>
      <c r="H297">
        <v>81.91</v>
      </c>
      <c r="I297" t="s">
        <v>1040</v>
      </c>
      <c r="J297" t="s">
        <v>1042</v>
      </c>
      <c r="K297" t="s">
        <v>1043</v>
      </c>
      <c r="L297" t="s">
        <v>1044</v>
      </c>
      <c r="M297" t="s">
        <v>1045</v>
      </c>
      <c r="N297" t="s">
        <v>1027</v>
      </c>
    </row>
    <row r="298" spans="1:14" x14ac:dyDescent="0.2">
      <c r="A298">
        <v>10395</v>
      </c>
      <c r="B298" t="s">
        <v>1039</v>
      </c>
      <c r="C298">
        <v>6</v>
      </c>
      <c r="D298" s="19">
        <v>35425</v>
      </c>
      <c r="E298" s="19">
        <v>35453</v>
      </c>
      <c r="F298" s="19">
        <v>35433</v>
      </c>
      <c r="G298">
        <v>1</v>
      </c>
      <c r="H298">
        <v>184.41</v>
      </c>
      <c r="I298" t="s">
        <v>1040</v>
      </c>
      <c r="J298" t="s">
        <v>1042</v>
      </c>
      <c r="K298" t="s">
        <v>1043</v>
      </c>
      <c r="L298" t="s">
        <v>1044</v>
      </c>
      <c r="M298" t="s">
        <v>1045</v>
      </c>
      <c r="N298" t="s">
        <v>1027</v>
      </c>
    </row>
    <row r="299" spans="1:14" x14ac:dyDescent="0.2">
      <c r="A299">
        <v>10476</v>
      </c>
      <c r="B299" t="s">
        <v>1039</v>
      </c>
      <c r="C299">
        <v>8</v>
      </c>
      <c r="D299" s="19">
        <v>35506</v>
      </c>
      <c r="E299" s="19">
        <v>35534</v>
      </c>
      <c r="F299" s="19">
        <v>35513</v>
      </c>
      <c r="G299">
        <v>3</v>
      </c>
      <c r="H299">
        <v>4.41</v>
      </c>
      <c r="I299" t="s">
        <v>1040</v>
      </c>
      <c r="J299" t="s">
        <v>1042</v>
      </c>
      <c r="K299" t="s">
        <v>1043</v>
      </c>
      <c r="L299" t="s">
        <v>1044</v>
      </c>
      <c r="M299" t="s">
        <v>1045</v>
      </c>
      <c r="N299" t="s">
        <v>1027</v>
      </c>
    </row>
    <row r="300" spans="1:14" x14ac:dyDescent="0.2">
      <c r="A300">
        <v>10486</v>
      </c>
      <c r="B300" t="s">
        <v>1039</v>
      </c>
      <c r="C300">
        <v>1</v>
      </c>
      <c r="D300" s="19">
        <v>35515</v>
      </c>
      <c r="E300" s="19">
        <v>35543</v>
      </c>
      <c r="F300" s="19">
        <v>35522</v>
      </c>
      <c r="G300">
        <v>2</v>
      </c>
      <c r="H300">
        <v>30.53</v>
      </c>
      <c r="I300" t="s">
        <v>1040</v>
      </c>
      <c r="J300" t="s">
        <v>1042</v>
      </c>
      <c r="K300" t="s">
        <v>1043</v>
      </c>
      <c r="L300" t="s">
        <v>1044</v>
      </c>
      <c r="M300" t="s">
        <v>1045</v>
      </c>
      <c r="N300" t="s">
        <v>1027</v>
      </c>
    </row>
    <row r="301" spans="1:14" x14ac:dyDescent="0.2">
      <c r="A301">
        <v>10490</v>
      </c>
      <c r="B301" t="s">
        <v>1039</v>
      </c>
      <c r="C301">
        <v>7</v>
      </c>
      <c r="D301" s="19">
        <v>35520</v>
      </c>
      <c r="E301" s="19">
        <v>35548</v>
      </c>
      <c r="F301" s="19">
        <v>35523</v>
      </c>
      <c r="G301">
        <v>2</v>
      </c>
      <c r="H301">
        <v>210.19</v>
      </c>
      <c r="I301" t="s">
        <v>1040</v>
      </c>
      <c r="J301" t="s">
        <v>1042</v>
      </c>
      <c r="K301" t="s">
        <v>1043</v>
      </c>
      <c r="L301" t="s">
        <v>1044</v>
      </c>
      <c r="M301" t="s">
        <v>1045</v>
      </c>
      <c r="N301" t="s">
        <v>1027</v>
      </c>
    </row>
    <row r="302" spans="1:14" x14ac:dyDescent="0.2">
      <c r="A302">
        <v>10498</v>
      </c>
      <c r="B302" t="s">
        <v>1039</v>
      </c>
      <c r="C302">
        <v>8</v>
      </c>
      <c r="D302" s="19">
        <v>35527</v>
      </c>
      <c r="E302" s="19">
        <v>35555</v>
      </c>
      <c r="F302" s="19">
        <v>35531</v>
      </c>
      <c r="G302">
        <v>2</v>
      </c>
      <c r="H302">
        <v>29.75</v>
      </c>
      <c r="I302" t="s">
        <v>1040</v>
      </c>
      <c r="J302" t="s">
        <v>1042</v>
      </c>
      <c r="K302" t="s">
        <v>1043</v>
      </c>
      <c r="L302" t="s">
        <v>1044</v>
      </c>
      <c r="M302" t="s">
        <v>1045</v>
      </c>
      <c r="N302" t="s">
        <v>1027</v>
      </c>
    </row>
    <row r="303" spans="1:14" x14ac:dyDescent="0.2">
      <c r="A303">
        <v>10552</v>
      </c>
      <c r="B303" t="s">
        <v>1039</v>
      </c>
      <c r="C303">
        <v>2</v>
      </c>
      <c r="D303" s="19">
        <v>35579</v>
      </c>
      <c r="E303" s="19">
        <v>35607</v>
      </c>
      <c r="F303" s="19">
        <v>35586</v>
      </c>
      <c r="G303">
        <v>1</v>
      </c>
      <c r="H303">
        <v>83.22</v>
      </c>
      <c r="I303" t="s">
        <v>1040</v>
      </c>
      <c r="J303" t="s">
        <v>1042</v>
      </c>
      <c r="K303" t="s">
        <v>1043</v>
      </c>
      <c r="L303" t="s">
        <v>1044</v>
      </c>
      <c r="M303" t="s">
        <v>1045</v>
      </c>
      <c r="N303" t="s">
        <v>1027</v>
      </c>
    </row>
    <row r="304" spans="1:14" x14ac:dyDescent="0.2">
      <c r="A304">
        <v>10601</v>
      </c>
      <c r="B304" t="s">
        <v>1039</v>
      </c>
      <c r="C304">
        <v>7</v>
      </c>
      <c r="D304" s="19">
        <v>35627</v>
      </c>
      <c r="E304" s="19">
        <v>35669</v>
      </c>
      <c r="F304" s="19">
        <v>35633</v>
      </c>
      <c r="G304">
        <v>1</v>
      </c>
      <c r="H304">
        <v>58.3</v>
      </c>
      <c r="I304" t="s">
        <v>1040</v>
      </c>
      <c r="J304" t="s">
        <v>1042</v>
      </c>
      <c r="K304" t="s">
        <v>1043</v>
      </c>
      <c r="L304" t="s">
        <v>1044</v>
      </c>
      <c r="M304" t="s">
        <v>1045</v>
      </c>
      <c r="N304" t="s">
        <v>1027</v>
      </c>
    </row>
    <row r="305" spans="1:14" x14ac:dyDescent="0.2">
      <c r="A305">
        <v>10613</v>
      </c>
      <c r="B305" t="s">
        <v>1039</v>
      </c>
      <c r="C305">
        <v>4</v>
      </c>
      <c r="D305" s="19">
        <v>35640</v>
      </c>
      <c r="E305" s="19">
        <v>35668</v>
      </c>
      <c r="F305" s="19">
        <v>35643</v>
      </c>
      <c r="G305">
        <v>2</v>
      </c>
      <c r="H305">
        <v>8.11</v>
      </c>
      <c r="I305" t="s">
        <v>1040</v>
      </c>
      <c r="J305" t="s">
        <v>1042</v>
      </c>
      <c r="K305" t="s">
        <v>1043</v>
      </c>
      <c r="L305" t="s">
        <v>1044</v>
      </c>
      <c r="M305" t="s">
        <v>1045</v>
      </c>
      <c r="N305" t="s">
        <v>1027</v>
      </c>
    </row>
    <row r="306" spans="1:14" x14ac:dyDescent="0.2">
      <c r="A306">
        <v>10641</v>
      </c>
      <c r="B306" t="s">
        <v>1039</v>
      </c>
      <c r="C306">
        <v>4</v>
      </c>
      <c r="D306" s="19">
        <v>35664</v>
      </c>
      <c r="E306" s="19">
        <v>35692</v>
      </c>
      <c r="F306" s="19">
        <v>35668</v>
      </c>
      <c r="G306">
        <v>2</v>
      </c>
      <c r="H306">
        <v>179.61</v>
      </c>
      <c r="I306" t="s">
        <v>1040</v>
      </c>
      <c r="J306" t="s">
        <v>1042</v>
      </c>
      <c r="K306" t="s">
        <v>1043</v>
      </c>
      <c r="L306" t="s">
        <v>1044</v>
      </c>
      <c r="M306" t="s">
        <v>1045</v>
      </c>
      <c r="N306" t="s">
        <v>1027</v>
      </c>
    </row>
    <row r="307" spans="1:14" x14ac:dyDescent="0.2">
      <c r="A307">
        <v>10705</v>
      </c>
      <c r="B307" t="s">
        <v>1039</v>
      </c>
      <c r="C307">
        <v>9</v>
      </c>
      <c r="D307" s="19">
        <v>35718</v>
      </c>
      <c r="E307" s="19">
        <v>35746</v>
      </c>
      <c r="F307" s="19">
        <v>35752</v>
      </c>
      <c r="G307">
        <v>2</v>
      </c>
      <c r="H307">
        <v>3.52</v>
      </c>
      <c r="I307" t="s">
        <v>1040</v>
      </c>
      <c r="J307" t="s">
        <v>1042</v>
      </c>
      <c r="K307" t="s">
        <v>1043</v>
      </c>
      <c r="L307" t="s">
        <v>1044</v>
      </c>
      <c r="M307" t="s">
        <v>1045</v>
      </c>
      <c r="N307" t="s">
        <v>1027</v>
      </c>
    </row>
    <row r="308" spans="1:14" x14ac:dyDescent="0.2">
      <c r="A308">
        <v>10796</v>
      </c>
      <c r="B308" t="s">
        <v>1039</v>
      </c>
      <c r="C308">
        <v>3</v>
      </c>
      <c r="D308" s="19">
        <v>35789</v>
      </c>
      <c r="E308" s="19">
        <v>35817</v>
      </c>
      <c r="F308" s="19">
        <v>35809</v>
      </c>
      <c r="G308">
        <v>1</v>
      </c>
      <c r="H308">
        <v>26.52</v>
      </c>
      <c r="I308" t="s">
        <v>1040</v>
      </c>
      <c r="J308" t="s">
        <v>1042</v>
      </c>
      <c r="K308" t="s">
        <v>1043</v>
      </c>
      <c r="L308" t="s">
        <v>1044</v>
      </c>
      <c r="M308" t="s">
        <v>1045</v>
      </c>
      <c r="N308" t="s">
        <v>1027</v>
      </c>
    </row>
    <row r="309" spans="1:14" x14ac:dyDescent="0.2">
      <c r="A309">
        <v>10863</v>
      </c>
      <c r="B309" t="s">
        <v>1039</v>
      </c>
      <c r="C309">
        <v>4</v>
      </c>
      <c r="D309" s="19">
        <v>35828</v>
      </c>
      <c r="E309" s="19">
        <v>35856</v>
      </c>
      <c r="F309" s="19">
        <v>35843</v>
      </c>
      <c r="G309">
        <v>2</v>
      </c>
      <c r="H309">
        <v>30.26</v>
      </c>
      <c r="I309" t="s">
        <v>1040</v>
      </c>
      <c r="J309" t="s">
        <v>1042</v>
      </c>
      <c r="K309" t="s">
        <v>1043</v>
      </c>
      <c r="L309" t="s">
        <v>1044</v>
      </c>
      <c r="M309" t="s">
        <v>1045</v>
      </c>
      <c r="N309" t="s">
        <v>1027</v>
      </c>
    </row>
    <row r="310" spans="1:14" x14ac:dyDescent="0.2">
      <c r="A310">
        <v>10901</v>
      </c>
      <c r="B310" t="s">
        <v>1039</v>
      </c>
      <c r="C310">
        <v>4</v>
      </c>
      <c r="D310" s="19">
        <v>35849</v>
      </c>
      <c r="E310" s="19">
        <v>35877</v>
      </c>
      <c r="F310" s="19">
        <v>35852</v>
      </c>
      <c r="G310">
        <v>1</v>
      </c>
      <c r="H310">
        <v>62.09</v>
      </c>
      <c r="I310" t="s">
        <v>1040</v>
      </c>
      <c r="J310" t="s">
        <v>1042</v>
      </c>
      <c r="K310" t="s">
        <v>1043</v>
      </c>
      <c r="L310" t="s">
        <v>1044</v>
      </c>
      <c r="M310" t="s">
        <v>1045</v>
      </c>
      <c r="N310" t="s">
        <v>1027</v>
      </c>
    </row>
    <row r="311" spans="1:14" x14ac:dyDescent="0.2">
      <c r="A311">
        <v>10957</v>
      </c>
      <c r="B311" t="s">
        <v>1039</v>
      </c>
      <c r="C311">
        <v>8</v>
      </c>
      <c r="D311" s="19">
        <v>35872</v>
      </c>
      <c r="E311" s="19">
        <v>35900</v>
      </c>
      <c r="F311" s="19">
        <v>35881</v>
      </c>
      <c r="G311">
        <v>3</v>
      </c>
      <c r="H311">
        <v>105.36</v>
      </c>
      <c r="I311" t="s">
        <v>1040</v>
      </c>
      <c r="J311" t="s">
        <v>1042</v>
      </c>
      <c r="K311" t="s">
        <v>1043</v>
      </c>
      <c r="L311" t="s">
        <v>1044</v>
      </c>
      <c r="M311" t="s">
        <v>1045</v>
      </c>
      <c r="N311" t="s">
        <v>1027</v>
      </c>
    </row>
    <row r="312" spans="1:14" x14ac:dyDescent="0.2">
      <c r="A312">
        <v>10960</v>
      </c>
      <c r="B312" t="s">
        <v>1039</v>
      </c>
      <c r="C312">
        <v>3</v>
      </c>
      <c r="D312" s="19">
        <v>35873</v>
      </c>
      <c r="E312" s="19">
        <v>35887</v>
      </c>
      <c r="F312" s="19">
        <v>35893</v>
      </c>
      <c r="G312">
        <v>1</v>
      </c>
      <c r="H312">
        <v>2.08</v>
      </c>
      <c r="I312" t="s">
        <v>1040</v>
      </c>
      <c r="J312" t="s">
        <v>1042</v>
      </c>
      <c r="K312" t="s">
        <v>1043</v>
      </c>
      <c r="L312" t="s">
        <v>1044</v>
      </c>
      <c r="M312" t="s">
        <v>1045</v>
      </c>
      <c r="N312" t="s">
        <v>1027</v>
      </c>
    </row>
    <row r="313" spans="1:14" x14ac:dyDescent="0.2">
      <c r="A313">
        <v>10976</v>
      </c>
      <c r="B313" t="s">
        <v>1039</v>
      </c>
      <c r="C313">
        <v>1</v>
      </c>
      <c r="D313" s="19">
        <v>35879</v>
      </c>
      <c r="E313" s="19">
        <v>35921</v>
      </c>
      <c r="F313" s="19">
        <v>35888</v>
      </c>
      <c r="G313">
        <v>1</v>
      </c>
      <c r="H313">
        <v>37.97</v>
      </c>
      <c r="I313" t="s">
        <v>1040</v>
      </c>
      <c r="J313" t="s">
        <v>1042</v>
      </c>
      <c r="K313" t="s">
        <v>1043</v>
      </c>
      <c r="L313" t="s">
        <v>1044</v>
      </c>
      <c r="M313" t="s">
        <v>1045</v>
      </c>
      <c r="N313" t="s">
        <v>1027</v>
      </c>
    </row>
    <row r="314" spans="1:14" x14ac:dyDescent="0.2">
      <c r="A314">
        <v>11055</v>
      </c>
      <c r="B314" t="s">
        <v>1039</v>
      </c>
      <c r="C314">
        <v>7</v>
      </c>
      <c r="D314" s="19">
        <v>35913</v>
      </c>
      <c r="E314" s="19">
        <v>35941</v>
      </c>
      <c r="F314" s="19">
        <v>35920</v>
      </c>
      <c r="G314">
        <v>2</v>
      </c>
      <c r="H314">
        <v>120.92</v>
      </c>
      <c r="I314" t="s">
        <v>1040</v>
      </c>
      <c r="J314" t="s">
        <v>1042</v>
      </c>
      <c r="K314" t="s">
        <v>1043</v>
      </c>
      <c r="L314" t="s">
        <v>1044</v>
      </c>
      <c r="M314" t="s">
        <v>1045</v>
      </c>
      <c r="N314" t="s">
        <v>1027</v>
      </c>
    </row>
    <row r="315" spans="1:14" x14ac:dyDescent="0.2">
      <c r="A315">
        <v>10375</v>
      </c>
      <c r="B315" t="s">
        <v>1048</v>
      </c>
      <c r="C315">
        <v>3</v>
      </c>
      <c r="D315" s="19">
        <v>35405</v>
      </c>
      <c r="E315" s="19">
        <v>35433</v>
      </c>
      <c r="F315" s="19">
        <v>35408</v>
      </c>
      <c r="G315">
        <v>2</v>
      </c>
      <c r="H315">
        <v>20.12</v>
      </c>
      <c r="I315" t="s">
        <v>1049</v>
      </c>
      <c r="J315" t="s">
        <v>1051</v>
      </c>
      <c r="K315" t="s">
        <v>1052</v>
      </c>
      <c r="L315" t="s">
        <v>1016</v>
      </c>
      <c r="M315" t="s">
        <v>1053</v>
      </c>
      <c r="N315" t="s">
        <v>1018</v>
      </c>
    </row>
    <row r="316" spans="1:14" x14ac:dyDescent="0.2">
      <c r="A316">
        <v>10394</v>
      </c>
      <c r="B316" t="s">
        <v>1048</v>
      </c>
      <c r="C316">
        <v>1</v>
      </c>
      <c r="D316" s="19">
        <v>35424</v>
      </c>
      <c r="E316" s="19">
        <v>35452</v>
      </c>
      <c r="F316" s="19">
        <v>35433</v>
      </c>
      <c r="G316">
        <v>3</v>
      </c>
      <c r="H316">
        <v>30.34</v>
      </c>
      <c r="I316" t="s">
        <v>1049</v>
      </c>
      <c r="J316" t="s">
        <v>1051</v>
      </c>
      <c r="K316" t="s">
        <v>1052</v>
      </c>
      <c r="L316" t="s">
        <v>1016</v>
      </c>
      <c r="M316" t="s">
        <v>1053</v>
      </c>
      <c r="N316" t="s">
        <v>1018</v>
      </c>
    </row>
    <row r="317" spans="1:14" x14ac:dyDescent="0.2">
      <c r="A317">
        <v>10415</v>
      </c>
      <c r="B317" t="s">
        <v>1048</v>
      </c>
      <c r="C317">
        <v>3</v>
      </c>
      <c r="D317" s="19">
        <v>35445</v>
      </c>
      <c r="E317" s="19">
        <v>35473</v>
      </c>
      <c r="F317" s="19">
        <v>35454</v>
      </c>
      <c r="G317">
        <v>1</v>
      </c>
      <c r="H317">
        <v>0.2</v>
      </c>
      <c r="I317" t="s">
        <v>1049</v>
      </c>
      <c r="J317" t="s">
        <v>1051</v>
      </c>
      <c r="K317" t="s">
        <v>1052</v>
      </c>
      <c r="L317" t="s">
        <v>1016</v>
      </c>
      <c r="M317" t="s">
        <v>1053</v>
      </c>
      <c r="N317" t="s">
        <v>1018</v>
      </c>
    </row>
    <row r="318" spans="1:14" x14ac:dyDescent="0.2">
      <c r="A318">
        <v>10600</v>
      </c>
      <c r="B318" t="s">
        <v>1048</v>
      </c>
      <c r="C318">
        <v>4</v>
      </c>
      <c r="D318" s="19">
        <v>35627</v>
      </c>
      <c r="E318" s="19">
        <v>35655</v>
      </c>
      <c r="F318" s="19">
        <v>35632</v>
      </c>
      <c r="G318">
        <v>1</v>
      </c>
      <c r="H318">
        <v>45.13</v>
      </c>
      <c r="I318" t="s">
        <v>1049</v>
      </c>
      <c r="J318" t="s">
        <v>1051</v>
      </c>
      <c r="K318" t="s">
        <v>1052</v>
      </c>
      <c r="L318" t="s">
        <v>1016</v>
      </c>
      <c r="M318" t="s">
        <v>1053</v>
      </c>
      <c r="N318" t="s">
        <v>1018</v>
      </c>
    </row>
    <row r="319" spans="1:14" x14ac:dyDescent="0.2">
      <c r="A319">
        <v>10660</v>
      </c>
      <c r="B319" t="s">
        <v>1048</v>
      </c>
      <c r="C319">
        <v>8</v>
      </c>
      <c r="D319" s="19">
        <v>35681</v>
      </c>
      <c r="E319" s="19">
        <v>35709</v>
      </c>
      <c r="F319" s="19">
        <v>35718</v>
      </c>
      <c r="G319">
        <v>1</v>
      </c>
      <c r="H319">
        <v>111.29</v>
      </c>
      <c r="I319" t="s">
        <v>1049</v>
      </c>
      <c r="J319" t="s">
        <v>1051</v>
      </c>
      <c r="K319" t="s">
        <v>1052</v>
      </c>
      <c r="L319" t="s">
        <v>1016</v>
      </c>
      <c r="M319" t="s">
        <v>1053</v>
      </c>
      <c r="N319" t="s">
        <v>1018</v>
      </c>
    </row>
    <row r="320" spans="1:14" x14ac:dyDescent="0.2">
      <c r="A320">
        <v>10298</v>
      </c>
      <c r="B320" t="s">
        <v>1056</v>
      </c>
      <c r="C320">
        <v>6</v>
      </c>
      <c r="D320" s="19">
        <v>35313</v>
      </c>
      <c r="E320" s="19">
        <v>35341</v>
      </c>
      <c r="F320" s="19">
        <v>35319</v>
      </c>
      <c r="G320">
        <v>2</v>
      </c>
      <c r="H320">
        <v>168.22</v>
      </c>
      <c r="I320" t="s">
        <v>1057</v>
      </c>
      <c r="J320" t="s">
        <v>1059</v>
      </c>
      <c r="K320" t="s">
        <v>1060</v>
      </c>
      <c r="L320" t="s">
        <v>1061</v>
      </c>
      <c r="N320" t="s">
        <v>1062</v>
      </c>
    </row>
    <row r="321" spans="1:14" x14ac:dyDescent="0.2">
      <c r="A321">
        <v>10309</v>
      </c>
      <c r="B321" t="s">
        <v>1056</v>
      </c>
      <c r="C321">
        <v>3</v>
      </c>
      <c r="D321" s="19">
        <v>35327</v>
      </c>
      <c r="E321" s="19">
        <v>35355</v>
      </c>
      <c r="F321" s="19">
        <v>35361</v>
      </c>
      <c r="G321">
        <v>1</v>
      </c>
      <c r="H321">
        <v>47.3</v>
      </c>
      <c r="I321" t="s">
        <v>1057</v>
      </c>
      <c r="J321" t="s">
        <v>1059</v>
      </c>
      <c r="K321" t="s">
        <v>1060</v>
      </c>
      <c r="L321" t="s">
        <v>1061</v>
      </c>
      <c r="N321" t="s">
        <v>1062</v>
      </c>
    </row>
    <row r="322" spans="1:14" x14ac:dyDescent="0.2">
      <c r="A322">
        <v>10335</v>
      </c>
      <c r="B322" t="s">
        <v>1056</v>
      </c>
      <c r="C322">
        <v>7</v>
      </c>
      <c r="D322" s="19">
        <v>35360</v>
      </c>
      <c r="E322" s="19">
        <v>35388</v>
      </c>
      <c r="F322" s="19">
        <v>35362</v>
      </c>
      <c r="G322">
        <v>2</v>
      </c>
      <c r="H322">
        <v>42.11</v>
      </c>
      <c r="I322" t="s">
        <v>1057</v>
      </c>
      <c r="J322" t="s">
        <v>1059</v>
      </c>
      <c r="K322" t="s">
        <v>1060</v>
      </c>
      <c r="L322" t="s">
        <v>1061</v>
      </c>
      <c r="N322" t="s">
        <v>1062</v>
      </c>
    </row>
    <row r="323" spans="1:14" x14ac:dyDescent="0.2">
      <c r="A323">
        <v>10373</v>
      </c>
      <c r="B323" t="s">
        <v>1056</v>
      </c>
      <c r="C323">
        <v>4</v>
      </c>
      <c r="D323" s="19">
        <v>35404</v>
      </c>
      <c r="E323" s="19">
        <v>35432</v>
      </c>
      <c r="F323" s="19">
        <v>35410</v>
      </c>
      <c r="G323">
        <v>3</v>
      </c>
      <c r="H323">
        <v>124.12</v>
      </c>
      <c r="I323" t="s">
        <v>1057</v>
      </c>
      <c r="J323" t="s">
        <v>1059</v>
      </c>
      <c r="K323" t="s">
        <v>1060</v>
      </c>
      <c r="L323" t="s">
        <v>1061</v>
      </c>
      <c r="N323" t="s">
        <v>1062</v>
      </c>
    </row>
    <row r="324" spans="1:14" x14ac:dyDescent="0.2">
      <c r="A324">
        <v>10380</v>
      </c>
      <c r="B324" t="s">
        <v>1056</v>
      </c>
      <c r="C324">
        <v>8</v>
      </c>
      <c r="D324" s="19">
        <v>35411</v>
      </c>
      <c r="E324" s="19">
        <v>35439</v>
      </c>
      <c r="F324" s="19">
        <v>35446</v>
      </c>
      <c r="G324">
        <v>3</v>
      </c>
      <c r="H324">
        <v>35.03</v>
      </c>
      <c r="I324" t="s">
        <v>1057</v>
      </c>
      <c r="J324" t="s">
        <v>1059</v>
      </c>
      <c r="K324" t="s">
        <v>1060</v>
      </c>
      <c r="L324" t="s">
        <v>1061</v>
      </c>
      <c r="N324" t="s">
        <v>1062</v>
      </c>
    </row>
    <row r="325" spans="1:14" x14ac:dyDescent="0.2">
      <c r="A325">
        <v>10429</v>
      </c>
      <c r="B325" t="s">
        <v>1056</v>
      </c>
      <c r="C325">
        <v>3</v>
      </c>
      <c r="D325" s="19">
        <v>35459</v>
      </c>
      <c r="E325" s="19">
        <v>35501</v>
      </c>
      <c r="F325" s="19">
        <v>35468</v>
      </c>
      <c r="G325">
        <v>2</v>
      </c>
      <c r="H325">
        <v>56.63</v>
      </c>
      <c r="I325" t="s">
        <v>1057</v>
      </c>
      <c r="J325" t="s">
        <v>1059</v>
      </c>
      <c r="K325" t="s">
        <v>1060</v>
      </c>
      <c r="L325" t="s">
        <v>1061</v>
      </c>
      <c r="N325" t="s">
        <v>1062</v>
      </c>
    </row>
    <row r="326" spans="1:14" x14ac:dyDescent="0.2">
      <c r="A326">
        <v>10503</v>
      </c>
      <c r="B326" t="s">
        <v>1056</v>
      </c>
      <c r="C326">
        <v>6</v>
      </c>
      <c r="D326" s="19">
        <v>35531</v>
      </c>
      <c r="E326" s="19">
        <v>35559</v>
      </c>
      <c r="F326" s="19">
        <v>35536</v>
      </c>
      <c r="G326">
        <v>2</v>
      </c>
      <c r="H326">
        <v>16.739999999999998</v>
      </c>
      <c r="I326" t="s">
        <v>1057</v>
      </c>
      <c r="J326" t="s">
        <v>1059</v>
      </c>
      <c r="K326" t="s">
        <v>1060</v>
      </c>
      <c r="L326" t="s">
        <v>1061</v>
      </c>
      <c r="N326" t="s">
        <v>1062</v>
      </c>
    </row>
    <row r="327" spans="1:14" x14ac:dyDescent="0.2">
      <c r="A327">
        <v>10516</v>
      </c>
      <c r="B327" t="s">
        <v>1056</v>
      </c>
      <c r="C327">
        <v>2</v>
      </c>
      <c r="D327" s="19">
        <v>35544</v>
      </c>
      <c r="E327" s="19">
        <v>35572</v>
      </c>
      <c r="F327" s="19">
        <v>35551</v>
      </c>
      <c r="G327">
        <v>3</v>
      </c>
      <c r="H327">
        <v>62.78</v>
      </c>
      <c r="I327" t="s">
        <v>1057</v>
      </c>
      <c r="J327" t="s">
        <v>1059</v>
      </c>
      <c r="K327" t="s">
        <v>1060</v>
      </c>
      <c r="L327" t="s">
        <v>1061</v>
      </c>
      <c r="N327" t="s">
        <v>1062</v>
      </c>
    </row>
    <row r="328" spans="1:14" x14ac:dyDescent="0.2">
      <c r="A328">
        <v>10567</v>
      </c>
      <c r="B328" t="s">
        <v>1056</v>
      </c>
      <c r="C328">
        <v>1</v>
      </c>
      <c r="D328" s="19">
        <v>35593</v>
      </c>
      <c r="E328" s="19">
        <v>35621</v>
      </c>
      <c r="F328" s="19">
        <v>35598</v>
      </c>
      <c r="G328">
        <v>1</v>
      </c>
      <c r="H328">
        <v>33.97</v>
      </c>
      <c r="I328" t="s">
        <v>1057</v>
      </c>
      <c r="J328" t="s">
        <v>1059</v>
      </c>
      <c r="K328" t="s">
        <v>1060</v>
      </c>
      <c r="L328" t="s">
        <v>1061</v>
      </c>
      <c r="N328" t="s">
        <v>1062</v>
      </c>
    </row>
    <row r="329" spans="1:14" x14ac:dyDescent="0.2">
      <c r="A329">
        <v>10646</v>
      </c>
      <c r="B329" t="s">
        <v>1056</v>
      </c>
      <c r="C329">
        <v>9</v>
      </c>
      <c r="D329" s="19">
        <v>35669</v>
      </c>
      <c r="E329" s="19">
        <v>35711</v>
      </c>
      <c r="F329" s="19">
        <v>35676</v>
      </c>
      <c r="G329">
        <v>3</v>
      </c>
      <c r="H329">
        <v>142.33000000000001</v>
      </c>
      <c r="I329" t="s">
        <v>1057</v>
      </c>
      <c r="J329" t="s">
        <v>1059</v>
      </c>
      <c r="K329" t="s">
        <v>1060</v>
      </c>
      <c r="L329" t="s">
        <v>1061</v>
      </c>
      <c r="N329" t="s">
        <v>1062</v>
      </c>
    </row>
    <row r="330" spans="1:14" x14ac:dyDescent="0.2">
      <c r="A330">
        <v>10661</v>
      </c>
      <c r="B330" t="s">
        <v>1056</v>
      </c>
      <c r="C330">
        <v>7</v>
      </c>
      <c r="D330" s="19">
        <v>35682</v>
      </c>
      <c r="E330" s="19">
        <v>35710</v>
      </c>
      <c r="F330" s="19">
        <v>35688</v>
      </c>
      <c r="G330">
        <v>3</v>
      </c>
      <c r="H330">
        <v>17.55</v>
      </c>
      <c r="I330" t="s">
        <v>1057</v>
      </c>
      <c r="J330" t="s">
        <v>1059</v>
      </c>
      <c r="K330" t="s">
        <v>1060</v>
      </c>
      <c r="L330" t="s">
        <v>1061</v>
      </c>
      <c r="N330" t="s">
        <v>1062</v>
      </c>
    </row>
    <row r="331" spans="1:14" x14ac:dyDescent="0.2">
      <c r="A331">
        <v>10687</v>
      </c>
      <c r="B331" t="s">
        <v>1056</v>
      </c>
      <c r="C331">
        <v>9</v>
      </c>
      <c r="D331" s="19">
        <v>35703</v>
      </c>
      <c r="E331" s="19">
        <v>35731</v>
      </c>
      <c r="F331" s="19">
        <v>35733</v>
      </c>
      <c r="G331">
        <v>2</v>
      </c>
      <c r="H331">
        <v>296.43</v>
      </c>
      <c r="I331" t="s">
        <v>1057</v>
      </c>
      <c r="J331" t="s">
        <v>1059</v>
      </c>
      <c r="K331" t="s">
        <v>1060</v>
      </c>
      <c r="L331" t="s">
        <v>1061</v>
      </c>
      <c r="N331" t="s">
        <v>1062</v>
      </c>
    </row>
    <row r="332" spans="1:14" x14ac:dyDescent="0.2">
      <c r="A332">
        <v>10701</v>
      </c>
      <c r="B332" t="s">
        <v>1056</v>
      </c>
      <c r="C332">
        <v>6</v>
      </c>
      <c r="D332" s="19">
        <v>35716</v>
      </c>
      <c r="E332" s="19">
        <v>35730</v>
      </c>
      <c r="F332" s="19">
        <v>35718</v>
      </c>
      <c r="G332">
        <v>3</v>
      </c>
      <c r="H332">
        <v>220.31</v>
      </c>
      <c r="I332" t="s">
        <v>1057</v>
      </c>
      <c r="J332" t="s">
        <v>1059</v>
      </c>
      <c r="K332" t="s">
        <v>1060</v>
      </c>
      <c r="L332" t="s">
        <v>1061</v>
      </c>
      <c r="N332" t="s">
        <v>1062</v>
      </c>
    </row>
    <row r="333" spans="1:14" x14ac:dyDescent="0.2">
      <c r="A333">
        <v>10712</v>
      </c>
      <c r="B333" t="s">
        <v>1056</v>
      </c>
      <c r="C333">
        <v>3</v>
      </c>
      <c r="D333" s="19">
        <v>35724</v>
      </c>
      <c r="E333" s="19">
        <v>35752</v>
      </c>
      <c r="F333" s="19">
        <v>35734</v>
      </c>
      <c r="G333">
        <v>1</v>
      </c>
      <c r="H333">
        <v>89.93</v>
      </c>
      <c r="I333" t="s">
        <v>1057</v>
      </c>
      <c r="J333" t="s">
        <v>1059</v>
      </c>
      <c r="K333" t="s">
        <v>1060</v>
      </c>
      <c r="L333" t="s">
        <v>1061</v>
      </c>
      <c r="N333" t="s">
        <v>1062</v>
      </c>
    </row>
    <row r="334" spans="1:14" x14ac:dyDescent="0.2">
      <c r="A334">
        <v>10736</v>
      </c>
      <c r="B334" t="s">
        <v>1056</v>
      </c>
      <c r="C334">
        <v>9</v>
      </c>
      <c r="D334" s="19">
        <v>35745</v>
      </c>
      <c r="E334" s="19">
        <v>35773</v>
      </c>
      <c r="F334" s="19">
        <v>35755</v>
      </c>
      <c r="G334">
        <v>2</v>
      </c>
      <c r="H334">
        <v>44.1</v>
      </c>
      <c r="I334" t="s">
        <v>1057</v>
      </c>
      <c r="J334" t="s">
        <v>1059</v>
      </c>
      <c r="K334" t="s">
        <v>1060</v>
      </c>
      <c r="L334" t="s">
        <v>1061</v>
      </c>
      <c r="N334" t="s">
        <v>1062</v>
      </c>
    </row>
    <row r="335" spans="1:14" x14ac:dyDescent="0.2">
      <c r="A335">
        <v>10897</v>
      </c>
      <c r="B335" t="s">
        <v>1056</v>
      </c>
      <c r="C335">
        <v>3</v>
      </c>
      <c r="D335" s="19">
        <v>35845</v>
      </c>
      <c r="E335" s="19">
        <v>35873</v>
      </c>
      <c r="F335" s="19">
        <v>35851</v>
      </c>
      <c r="G335">
        <v>2</v>
      </c>
      <c r="H335">
        <v>603.54</v>
      </c>
      <c r="I335" t="s">
        <v>1057</v>
      </c>
      <c r="J335" t="s">
        <v>1059</v>
      </c>
      <c r="K335" t="s">
        <v>1060</v>
      </c>
      <c r="L335" t="s">
        <v>1061</v>
      </c>
      <c r="N335" t="s">
        <v>1062</v>
      </c>
    </row>
    <row r="336" spans="1:14" x14ac:dyDescent="0.2">
      <c r="A336">
        <v>10912</v>
      </c>
      <c r="B336" t="s">
        <v>1056</v>
      </c>
      <c r="C336">
        <v>2</v>
      </c>
      <c r="D336" s="19">
        <v>35852</v>
      </c>
      <c r="E336" s="19">
        <v>35880</v>
      </c>
      <c r="F336" s="19">
        <v>35872</v>
      </c>
      <c r="G336">
        <v>2</v>
      </c>
      <c r="H336">
        <v>580.91</v>
      </c>
      <c r="I336" t="s">
        <v>1057</v>
      </c>
      <c r="J336" t="s">
        <v>1059</v>
      </c>
      <c r="K336" t="s">
        <v>1060</v>
      </c>
      <c r="L336" t="s">
        <v>1061</v>
      </c>
      <c r="N336" t="s">
        <v>1062</v>
      </c>
    </row>
    <row r="337" spans="1:14" x14ac:dyDescent="0.2">
      <c r="A337">
        <v>10985</v>
      </c>
      <c r="B337" t="s">
        <v>1056</v>
      </c>
      <c r="C337">
        <v>2</v>
      </c>
      <c r="D337" s="19">
        <v>35884</v>
      </c>
      <c r="E337" s="19">
        <v>35912</v>
      </c>
      <c r="F337" s="19">
        <v>35887</v>
      </c>
      <c r="G337">
        <v>1</v>
      </c>
      <c r="H337">
        <v>91.51</v>
      </c>
      <c r="I337" t="s">
        <v>1057</v>
      </c>
      <c r="J337" t="s">
        <v>1059</v>
      </c>
      <c r="K337" t="s">
        <v>1060</v>
      </c>
      <c r="L337" t="s">
        <v>1061</v>
      </c>
      <c r="N337" t="s">
        <v>1062</v>
      </c>
    </row>
    <row r="338" spans="1:14" x14ac:dyDescent="0.2">
      <c r="A338">
        <v>11063</v>
      </c>
      <c r="B338" t="s">
        <v>1056</v>
      </c>
      <c r="C338">
        <v>3</v>
      </c>
      <c r="D338" s="19">
        <v>35915</v>
      </c>
      <c r="E338" s="19">
        <v>35943</v>
      </c>
      <c r="F338" s="19">
        <v>35921</v>
      </c>
      <c r="G338">
        <v>2</v>
      </c>
      <c r="H338">
        <v>81.73</v>
      </c>
      <c r="I338" t="s">
        <v>1057</v>
      </c>
      <c r="J338" t="s">
        <v>1059</v>
      </c>
      <c r="K338" t="s">
        <v>1060</v>
      </c>
      <c r="L338" t="s">
        <v>1061</v>
      </c>
      <c r="N338" t="s">
        <v>1062</v>
      </c>
    </row>
    <row r="339" spans="1:14" x14ac:dyDescent="0.2">
      <c r="A339">
        <v>10315</v>
      </c>
      <c r="B339" t="s">
        <v>1065</v>
      </c>
      <c r="C339">
        <v>4</v>
      </c>
      <c r="D339" s="19">
        <v>35334</v>
      </c>
      <c r="E339" s="19">
        <v>35362</v>
      </c>
      <c r="F339" s="19">
        <v>35341</v>
      </c>
      <c r="G339">
        <v>2</v>
      </c>
      <c r="H339">
        <v>41.76</v>
      </c>
      <c r="I339" t="s">
        <v>1066</v>
      </c>
      <c r="J339" t="s">
        <v>1068</v>
      </c>
      <c r="K339" t="s">
        <v>1069</v>
      </c>
      <c r="L339" t="s">
        <v>1070</v>
      </c>
      <c r="M339" t="s">
        <v>1071</v>
      </c>
      <c r="N339" t="s">
        <v>787</v>
      </c>
    </row>
    <row r="340" spans="1:14" x14ac:dyDescent="0.2">
      <c r="A340">
        <v>10318</v>
      </c>
      <c r="B340" t="s">
        <v>1065</v>
      </c>
      <c r="C340">
        <v>8</v>
      </c>
      <c r="D340" s="19">
        <v>35339</v>
      </c>
      <c r="E340" s="19">
        <v>35367</v>
      </c>
      <c r="F340" s="19">
        <v>35342</v>
      </c>
      <c r="G340">
        <v>2</v>
      </c>
      <c r="H340">
        <v>4.7300000000000004</v>
      </c>
      <c r="I340" t="s">
        <v>1066</v>
      </c>
      <c r="J340" t="s">
        <v>1068</v>
      </c>
      <c r="K340" t="s">
        <v>1069</v>
      </c>
      <c r="L340" t="s">
        <v>1070</v>
      </c>
      <c r="M340" t="s">
        <v>1071</v>
      </c>
      <c r="N340" t="s">
        <v>787</v>
      </c>
    </row>
    <row r="341" spans="1:14" x14ac:dyDescent="0.2">
      <c r="A341">
        <v>10321</v>
      </c>
      <c r="B341" t="s">
        <v>1065</v>
      </c>
      <c r="C341">
        <v>3</v>
      </c>
      <c r="D341" s="19">
        <v>35341</v>
      </c>
      <c r="E341" s="19">
        <v>35369</v>
      </c>
      <c r="F341" s="19">
        <v>35349</v>
      </c>
      <c r="G341">
        <v>2</v>
      </c>
      <c r="H341">
        <v>3.43</v>
      </c>
      <c r="I341" t="s">
        <v>1066</v>
      </c>
      <c r="J341" t="s">
        <v>1068</v>
      </c>
      <c r="K341" t="s">
        <v>1069</v>
      </c>
      <c r="L341" t="s">
        <v>1070</v>
      </c>
      <c r="M341" t="s">
        <v>1071</v>
      </c>
      <c r="N341" t="s">
        <v>787</v>
      </c>
    </row>
    <row r="342" spans="1:14" x14ac:dyDescent="0.2">
      <c r="A342">
        <v>10473</v>
      </c>
      <c r="B342" t="s">
        <v>1065</v>
      </c>
      <c r="C342">
        <v>1</v>
      </c>
      <c r="D342" s="19">
        <v>35502</v>
      </c>
      <c r="E342" s="19">
        <v>35516</v>
      </c>
      <c r="F342" s="19">
        <v>35510</v>
      </c>
      <c r="G342">
        <v>3</v>
      </c>
      <c r="H342">
        <v>16.37</v>
      </c>
      <c r="I342" t="s">
        <v>1066</v>
      </c>
      <c r="J342" t="s">
        <v>1068</v>
      </c>
      <c r="K342" t="s">
        <v>1069</v>
      </c>
      <c r="L342" t="s">
        <v>1070</v>
      </c>
      <c r="M342" t="s">
        <v>1071</v>
      </c>
      <c r="N342" t="s">
        <v>787</v>
      </c>
    </row>
    <row r="343" spans="1:14" x14ac:dyDescent="0.2">
      <c r="A343">
        <v>10621</v>
      </c>
      <c r="B343" t="s">
        <v>1065</v>
      </c>
      <c r="C343">
        <v>4</v>
      </c>
      <c r="D343" s="19">
        <v>35647</v>
      </c>
      <c r="E343" s="19">
        <v>35675</v>
      </c>
      <c r="F343" s="19">
        <v>35653</v>
      </c>
      <c r="G343">
        <v>2</v>
      </c>
      <c r="H343">
        <v>23.73</v>
      </c>
      <c r="I343" t="s">
        <v>1066</v>
      </c>
      <c r="J343" t="s">
        <v>1068</v>
      </c>
      <c r="K343" t="s">
        <v>1069</v>
      </c>
      <c r="L343" t="s">
        <v>1070</v>
      </c>
      <c r="M343" t="s">
        <v>1071</v>
      </c>
      <c r="N343" t="s">
        <v>787</v>
      </c>
    </row>
    <row r="344" spans="1:14" x14ac:dyDescent="0.2">
      <c r="A344">
        <v>10674</v>
      </c>
      <c r="B344" t="s">
        <v>1065</v>
      </c>
      <c r="C344">
        <v>4</v>
      </c>
      <c r="D344" s="19">
        <v>35691</v>
      </c>
      <c r="E344" s="19">
        <v>35719</v>
      </c>
      <c r="F344" s="19">
        <v>35703</v>
      </c>
      <c r="G344">
        <v>2</v>
      </c>
      <c r="H344">
        <v>0.9</v>
      </c>
      <c r="I344" t="s">
        <v>1066</v>
      </c>
      <c r="J344" t="s">
        <v>1068</v>
      </c>
      <c r="K344" t="s">
        <v>1069</v>
      </c>
      <c r="L344" t="s">
        <v>1070</v>
      </c>
      <c r="M344" t="s">
        <v>1071</v>
      </c>
      <c r="N344" t="s">
        <v>787</v>
      </c>
    </row>
    <row r="345" spans="1:14" x14ac:dyDescent="0.2">
      <c r="A345">
        <v>10749</v>
      </c>
      <c r="B345" t="s">
        <v>1065</v>
      </c>
      <c r="C345">
        <v>4</v>
      </c>
      <c r="D345" s="19">
        <v>35754</v>
      </c>
      <c r="E345" s="19">
        <v>35782</v>
      </c>
      <c r="F345" s="19">
        <v>35783</v>
      </c>
      <c r="G345">
        <v>2</v>
      </c>
      <c r="H345">
        <v>61.53</v>
      </c>
      <c r="I345" t="s">
        <v>1066</v>
      </c>
      <c r="J345" t="s">
        <v>1068</v>
      </c>
      <c r="K345" t="s">
        <v>1069</v>
      </c>
      <c r="L345" t="s">
        <v>1070</v>
      </c>
      <c r="M345" t="s">
        <v>1071</v>
      </c>
      <c r="N345" t="s">
        <v>787</v>
      </c>
    </row>
    <row r="346" spans="1:14" x14ac:dyDescent="0.2">
      <c r="A346">
        <v>10798</v>
      </c>
      <c r="B346" t="s">
        <v>1065</v>
      </c>
      <c r="C346">
        <v>2</v>
      </c>
      <c r="D346" s="19">
        <v>35790</v>
      </c>
      <c r="E346" s="19">
        <v>35818</v>
      </c>
      <c r="F346" s="19">
        <v>35800</v>
      </c>
      <c r="G346">
        <v>1</v>
      </c>
      <c r="H346">
        <v>2.33</v>
      </c>
      <c r="I346" t="s">
        <v>1066</v>
      </c>
      <c r="J346" t="s">
        <v>1068</v>
      </c>
      <c r="K346" t="s">
        <v>1069</v>
      </c>
      <c r="L346" t="s">
        <v>1070</v>
      </c>
      <c r="M346" t="s">
        <v>1071</v>
      </c>
      <c r="N346" t="s">
        <v>787</v>
      </c>
    </row>
    <row r="347" spans="1:14" x14ac:dyDescent="0.2">
      <c r="A347">
        <v>10829</v>
      </c>
      <c r="B347" t="s">
        <v>1065</v>
      </c>
      <c r="C347">
        <v>9</v>
      </c>
      <c r="D347" s="19">
        <v>35808</v>
      </c>
      <c r="E347" s="19">
        <v>35836</v>
      </c>
      <c r="F347" s="19">
        <v>35818</v>
      </c>
      <c r="G347">
        <v>1</v>
      </c>
      <c r="H347">
        <v>154.72</v>
      </c>
      <c r="I347" t="s">
        <v>1066</v>
      </c>
      <c r="J347" t="s">
        <v>1068</v>
      </c>
      <c r="K347" t="s">
        <v>1069</v>
      </c>
      <c r="L347" t="s">
        <v>1070</v>
      </c>
      <c r="M347" t="s">
        <v>1071</v>
      </c>
      <c r="N347" t="s">
        <v>787</v>
      </c>
    </row>
    <row r="348" spans="1:14" x14ac:dyDescent="0.2">
      <c r="A348">
        <v>10933</v>
      </c>
      <c r="B348" t="s">
        <v>1065</v>
      </c>
      <c r="C348">
        <v>6</v>
      </c>
      <c r="D348" s="19">
        <v>35860</v>
      </c>
      <c r="E348" s="19">
        <v>35888</v>
      </c>
      <c r="F348" s="19">
        <v>35870</v>
      </c>
      <c r="G348">
        <v>3</v>
      </c>
      <c r="H348">
        <v>54.15</v>
      </c>
      <c r="I348" t="s">
        <v>1066</v>
      </c>
      <c r="J348" t="s">
        <v>1068</v>
      </c>
      <c r="K348" t="s">
        <v>1069</v>
      </c>
      <c r="L348" t="s">
        <v>1070</v>
      </c>
      <c r="M348" t="s">
        <v>1071</v>
      </c>
      <c r="N348" t="s">
        <v>787</v>
      </c>
    </row>
    <row r="349" spans="1:14" x14ac:dyDescent="0.2">
      <c r="A349">
        <v>10323</v>
      </c>
      <c r="B349" t="s">
        <v>1073</v>
      </c>
      <c r="C349">
        <v>4</v>
      </c>
      <c r="D349" s="19">
        <v>35345</v>
      </c>
      <c r="E349" s="19">
        <v>35373</v>
      </c>
      <c r="F349" s="19">
        <v>35352</v>
      </c>
      <c r="G349">
        <v>1</v>
      </c>
      <c r="H349">
        <v>4.88</v>
      </c>
      <c r="I349" t="s">
        <v>1074</v>
      </c>
      <c r="J349" t="s">
        <v>1076</v>
      </c>
      <c r="K349" t="s">
        <v>1077</v>
      </c>
      <c r="M349" t="s">
        <v>1078</v>
      </c>
      <c r="N349" t="s">
        <v>762</v>
      </c>
    </row>
    <row r="350" spans="1:14" x14ac:dyDescent="0.2">
      <c r="A350">
        <v>10325</v>
      </c>
      <c r="B350" t="s">
        <v>1073</v>
      </c>
      <c r="C350">
        <v>1</v>
      </c>
      <c r="D350" s="19">
        <v>35347</v>
      </c>
      <c r="E350" s="19">
        <v>35361</v>
      </c>
      <c r="F350" s="19">
        <v>35352</v>
      </c>
      <c r="G350">
        <v>3</v>
      </c>
      <c r="H350">
        <v>64.86</v>
      </c>
      <c r="I350" t="s">
        <v>1074</v>
      </c>
      <c r="J350" t="s">
        <v>1076</v>
      </c>
      <c r="K350" t="s">
        <v>1077</v>
      </c>
      <c r="M350" t="s">
        <v>1078</v>
      </c>
      <c r="N350" t="s">
        <v>762</v>
      </c>
    </row>
    <row r="351" spans="1:14" x14ac:dyDescent="0.2">
      <c r="A351">
        <v>10456</v>
      </c>
      <c r="B351" t="s">
        <v>1073</v>
      </c>
      <c r="C351">
        <v>8</v>
      </c>
      <c r="D351" s="19">
        <v>35486</v>
      </c>
      <c r="E351" s="19">
        <v>35528</v>
      </c>
      <c r="F351" s="19">
        <v>35489</v>
      </c>
      <c r="G351">
        <v>2</v>
      </c>
      <c r="H351">
        <v>8.1199999999999992</v>
      </c>
      <c r="I351" t="s">
        <v>1074</v>
      </c>
      <c r="J351" t="s">
        <v>1076</v>
      </c>
      <c r="K351" t="s">
        <v>1077</v>
      </c>
      <c r="M351" t="s">
        <v>1078</v>
      </c>
      <c r="N351" t="s">
        <v>762</v>
      </c>
    </row>
    <row r="352" spans="1:14" x14ac:dyDescent="0.2">
      <c r="A352">
        <v>10457</v>
      </c>
      <c r="B352" t="s">
        <v>1073</v>
      </c>
      <c r="C352">
        <v>2</v>
      </c>
      <c r="D352" s="19">
        <v>35486</v>
      </c>
      <c r="E352" s="19">
        <v>35514</v>
      </c>
      <c r="F352" s="19">
        <v>35492</v>
      </c>
      <c r="G352">
        <v>1</v>
      </c>
      <c r="H352">
        <v>11.57</v>
      </c>
      <c r="I352" t="s">
        <v>1074</v>
      </c>
      <c r="J352" t="s">
        <v>1076</v>
      </c>
      <c r="K352" t="s">
        <v>1077</v>
      </c>
      <c r="M352" t="s">
        <v>1078</v>
      </c>
      <c r="N352" t="s">
        <v>762</v>
      </c>
    </row>
    <row r="353" spans="1:14" x14ac:dyDescent="0.2">
      <c r="A353">
        <v>10468</v>
      </c>
      <c r="B353" t="s">
        <v>1073</v>
      </c>
      <c r="C353">
        <v>3</v>
      </c>
      <c r="D353" s="19">
        <v>35496</v>
      </c>
      <c r="E353" s="19">
        <v>35524</v>
      </c>
      <c r="F353" s="19">
        <v>35501</v>
      </c>
      <c r="G353">
        <v>3</v>
      </c>
      <c r="H353">
        <v>44.12</v>
      </c>
      <c r="I353" t="s">
        <v>1074</v>
      </c>
      <c r="J353" t="s">
        <v>1076</v>
      </c>
      <c r="K353" t="s">
        <v>1077</v>
      </c>
      <c r="M353" t="s">
        <v>1078</v>
      </c>
      <c r="N353" t="s">
        <v>762</v>
      </c>
    </row>
    <row r="354" spans="1:14" x14ac:dyDescent="0.2">
      <c r="A354">
        <v>10506</v>
      </c>
      <c r="B354" t="s">
        <v>1073</v>
      </c>
      <c r="C354">
        <v>9</v>
      </c>
      <c r="D354" s="19">
        <v>35535</v>
      </c>
      <c r="E354" s="19">
        <v>35563</v>
      </c>
      <c r="F354" s="19">
        <v>35552</v>
      </c>
      <c r="G354">
        <v>2</v>
      </c>
      <c r="H354">
        <v>21.19</v>
      </c>
      <c r="I354" t="s">
        <v>1074</v>
      </c>
      <c r="J354" t="s">
        <v>1076</v>
      </c>
      <c r="K354" t="s">
        <v>1077</v>
      </c>
      <c r="M354" t="s">
        <v>1078</v>
      </c>
      <c r="N354" t="s">
        <v>762</v>
      </c>
    </row>
    <row r="355" spans="1:14" x14ac:dyDescent="0.2">
      <c r="A355">
        <v>10542</v>
      </c>
      <c r="B355" t="s">
        <v>1073</v>
      </c>
      <c r="C355">
        <v>1</v>
      </c>
      <c r="D355" s="19">
        <v>35570</v>
      </c>
      <c r="E355" s="19">
        <v>35598</v>
      </c>
      <c r="F355" s="19">
        <v>35576</v>
      </c>
      <c r="G355">
        <v>3</v>
      </c>
      <c r="H355">
        <v>10.95</v>
      </c>
      <c r="I355" t="s">
        <v>1074</v>
      </c>
      <c r="J355" t="s">
        <v>1076</v>
      </c>
      <c r="K355" t="s">
        <v>1077</v>
      </c>
      <c r="M355" t="s">
        <v>1078</v>
      </c>
      <c r="N355" t="s">
        <v>762</v>
      </c>
    </row>
    <row r="356" spans="1:14" x14ac:dyDescent="0.2">
      <c r="A356">
        <v>10630</v>
      </c>
      <c r="B356" t="s">
        <v>1073</v>
      </c>
      <c r="C356">
        <v>1</v>
      </c>
      <c r="D356" s="19">
        <v>35655</v>
      </c>
      <c r="E356" s="19">
        <v>35683</v>
      </c>
      <c r="F356" s="19">
        <v>35661</v>
      </c>
      <c r="G356">
        <v>2</v>
      </c>
      <c r="H356">
        <v>32.35</v>
      </c>
      <c r="I356" t="s">
        <v>1074</v>
      </c>
      <c r="J356" t="s">
        <v>1076</v>
      </c>
      <c r="K356" t="s">
        <v>1077</v>
      </c>
      <c r="M356" t="s">
        <v>1078</v>
      </c>
      <c r="N356" t="s">
        <v>762</v>
      </c>
    </row>
    <row r="357" spans="1:14" x14ac:dyDescent="0.2">
      <c r="A357">
        <v>10718</v>
      </c>
      <c r="B357" t="s">
        <v>1073</v>
      </c>
      <c r="C357">
        <v>1</v>
      </c>
      <c r="D357" s="19">
        <v>35730</v>
      </c>
      <c r="E357" s="19">
        <v>35758</v>
      </c>
      <c r="F357" s="19">
        <v>35732</v>
      </c>
      <c r="G357">
        <v>3</v>
      </c>
      <c r="H357">
        <v>170.88</v>
      </c>
      <c r="I357" t="s">
        <v>1074</v>
      </c>
      <c r="J357" t="s">
        <v>1076</v>
      </c>
      <c r="K357" t="s">
        <v>1077</v>
      </c>
      <c r="M357" t="s">
        <v>1078</v>
      </c>
      <c r="N357" t="s">
        <v>762</v>
      </c>
    </row>
    <row r="358" spans="1:14" x14ac:dyDescent="0.2">
      <c r="A358">
        <v>10799</v>
      </c>
      <c r="B358" t="s">
        <v>1073</v>
      </c>
      <c r="C358">
        <v>9</v>
      </c>
      <c r="D358" s="19">
        <v>35790</v>
      </c>
      <c r="E358" s="19">
        <v>35832</v>
      </c>
      <c r="F358" s="19">
        <v>35800</v>
      </c>
      <c r="G358">
        <v>3</v>
      </c>
      <c r="H358">
        <v>30.76</v>
      </c>
      <c r="I358" t="s">
        <v>1074</v>
      </c>
      <c r="J358" t="s">
        <v>1076</v>
      </c>
      <c r="K358" t="s">
        <v>1077</v>
      </c>
      <c r="M358" t="s">
        <v>1078</v>
      </c>
      <c r="N358" t="s">
        <v>762</v>
      </c>
    </row>
    <row r="359" spans="1:14" x14ac:dyDescent="0.2">
      <c r="A359">
        <v>10817</v>
      </c>
      <c r="B359" t="s">
        <v>1073</v>
      </c>
      <c r="C359">
        <v>3</v>
      </c>
      <c r="D359" s="19">
        <v>35801</v>
      </c>
      <c r="E359" s="19">
        <v>35815</v>
      </c>
      <c r="F359" s="19">
        <v>35808</v>
      </c>
      <c r="G359">
        <v>2</v>
      </c>
      <c r="H359">
        <v>306.07</v>
      </c>
      <c r="I359" t="s">
        <v>1074</v>
      </c>
      <c r="J359" t="s">
        <v>1076</v>
      </c>
      <c r="K359" t="s">
        <v>1077</v>
      </c>
      <c r="M359" t="s">
        <v>1078</v>
      </c>
      <c r="N359" t="s">
        <v>762</v>
      </c>
    </row>
    <row r="360" spans="1:14" x14ac:dyDescent="0.2">
      <c r="A360">
        <v>10849</v>
      </c>
      <c r="B360" t="s">
        <v>1073</v>
      </c>
      <c r="C360">
        <v>9</v>
      </c>
      <c r="D360" s="19">
        <v>35818</v>
      </c>
      <c r="E360" s="19">
        <v>35846</v>
      </c>
      <c r="F360" s="19">
        <v>35825</v>
      </c>
      <c r="G360">
        <v>2</v>
      </c>
      <c r="H360">
        <v>0.56000000000000005</v>
      </c>
      <c r="I360" t="s">
        <v>1074</v>
      </c>
      <c r="J360" t="s">
        <v>1076</v>
      </c>
      <c r="K360" t="s">
        <v>1077</v>
      </c>
      <c r="M360" t="s">
        <v>1078</v>
      </c>
      <c r="N360" t="s">
        <v>762</v>
      </c>
    </row>
    <row r="361" spans="1:14" x14ac:dyDescent="0.2">
      <c r="A361">
        <v>10893</v>
      </c>
      <c r="B361" t="s">
        <v>1073</v>
      </c>
      <c r="C361">
        <v>9</v>
      </c>
      <c r="D361" s="19">
        <v>35844</v>
      </c>
      <c r="E361" s="19">
        <v>35872</v>
      </c>
      <c r="F361" s="19">
        <v>35846</v>
      </c>
      <c r="G361">
        <v>2</v>
      </c>
      <c r="H361">
        <v>77.78</v>
      </c>
      <c r="I361" t="s">
        <v>1074</v>
      </c>
      <c r="J361" t="s">
        <v>1076</v>
      </c>
      <c r="K361" t="s">
        <v>1077</v>
      </c>
      <c r="M361" t="s">
        <v>1078</v>
      </c>
      <c r="N361" t="s">
        <v>762</v>
      </c>
    </row>
    <row r="362" spans="1:14" x14ac:dyDescent="0.2">
      <c r="A362">
        <v>11028</v>
      </c>
      <c r="B362" t="s">
        <v>1073</v>
      </c>
      <c r="C362">
        <v>2</v>
      </c>
      <c r="D362" s="19">
        <v>35901</v>
      </c>
      <c r="E362" s="19">
        <v>35929</v>
      </c>
      <c r="F362" s="19">
        <v>35907</v>
      </c>
      <c r="G362">
        <v>1</v>
      </c>
      <c r="H362">
        <v>29.59</v>
      </c>
      <c r="I362" t="s">
        <v>1074</v>
      </c>
      <c r="J362" t="s">
        <v>1076</v>
      </c>
      <c r="K362" t="s">
        <v>1077</v>
      </c>
      <c r="M362" t="s">
        <v>1078</v>
      </c>
      <c r="N362" t="s">
        <v>762</v>
      </c>
    </row>
    <row r="363" spans="1:14" x14ac:dyDescent="0.2">
      <c r="A363">
        <v>10858</v>
      </c>
      <c r="B363" t="s">
        <v>1080</v>
      </c>
      <c r="C363">
        <v>2</v>
      </c>
      <c r="D363" s="19">
        <v>35824</v>
      </c>
      <c r="E363" s="19">
        <v>35852</v>
      </c>
      <c r="F363" s="19">
        <v>35829</v>
      </c>
      <c r="G363">
        <v>1</v>
      </c>
      <c r="H363">
        <v>52.51</v>
      </c>
      <c r="I363" t="s">
        <v>1081</v>
      </c>
      <c r="J363" t="s">
        <v>1083</v>
      </c>
      <c r="K363" t="s">
        <v>1084</v>
      </c>
      <c r="M363" t="s">
        <v>1085</v>
      </c>
      <c r="N363" t="s">
        <v>815</v>
      </c>
    </row>
    <row r="364" spans="1:14" x14ac:dyDescent="0.2">
      <c r="A364">
        <v>10927</v>
      </c>
      <c r="B364" t="s">
        <v>1080</v>
      </c>
      <c r="C364">
        <v>4</v>
      </c>
      <c r="D364" s="19">
        <v>35859</v>
      </c>
      <c r="E364" s="19">
        <v>35887</v>
      </c>
      <c r="F364" s="19">
        <v>35893</v>
      </c>
      <c r="G364">
        <v>1</v>
      </c>
      <c r="H364">
        <v>19.79</v>
      </c>
      <c r="I364" t="s">
        <v>1081</v>
      </c>
      <c r="J364" t="s">
        <v>1083</v>
      </c>
      <c r="K364" t="s">
        <v>1084</v>
      </c>
      <c r="M364" t="s">
        <v>1085</v>
      </c>
      <c r="N364" t="s">
        <v>815</v>
      </c>
    </row>
    <row r="365" spans="1:14" x14ac:dyDescent="0.2">
      <c r="A365">
        <v>10972</v>
      </c>
      <c r="B365" t="s">
        <v>1080</v>
      </c>
      <c r="C365">
        <v>4</v>
      </c>
      <c r="D365" s="19">
        <v>35878</v>
      </c>
      <c r="E365" s="19">
        <v>35906</v>
      </c>
      <c r="F365" s="19">
        <v>35880</v>
      </c>
      <c r="G365">
        <v>2</v>
      </c>
      <c r="H365">
        <v>0.02</v>
      </c>
      <c r="I365" t="s">
        <v>1081</v>
      </c>
      <c r="J365" t="s">
        <v>1083</v>
      </c>
      <c r="K365" t="s">
        <v>1084</v>
      </c>
      <c r="M365" t="s">
        <v>1085</v>
      </c>
      <c r="N365" t="s">
        <v>815</v>
      </c>
    </row>
    <row r="366" spans="1:14" x14ac:dyDescent="0.2">
      <c r="A366">
        <v>10973</v>
      </c>
      <c r="B366" t="s">
        <v>1080</v>
      </c>
      <c r="C366">
        <v>6</v>
      </c>
      <c r="D366" s="19">
        <v>35878</v>
      </c>
      <c r="E366" s="19">
        <v>35906</v>
      </c>
      <c r="F366" s="19">
        <v>35881</v>
      </c>
      <c r="G366">
        <v>2</v>
      </c>
      <c r="H366">
        <v>15.17</v>
      </c>
      <c r="I366" t="s">
        <v>1081</v>
      </c>
      <c r="J366" t="s">
        <v>1083</v>
      </c>
      <c r="K366" t="s">
        <v>1084</v>
      </c>
      <c r="M366" t="s">
        <v>1085</v>
      </c>
      <c r="N366" t="s">
        <v>815</v>
      </c>
    </row>
    <row r="367" spans="1:14" x14ac:dyDescent="0.2">
      <c r="A367">
        <v>10350</v>
      </c>
      <c r="B367" t="s">
        <v>1088</v>
      </c>
      <c r="C367">
        <v>6</v>
      </c>
      <c r="D367" s="19">
        <v>35380</v>
      </c>
      <c r="E367" s="19">
        <v>35408</v>
      </c>
      <c r="F367" s="19">
        <v>35402</v>
      </c>
      <c r="G367">
        <v>2</v>
      </c>
      <c r="H367">
        <v>64.19</v>
      </c>
      <c r="I367" t="s">
        <v>1089</v>
      </c>
      <c r="J367" t="s">
        <v>1091</v>
      </c>
      <c r="K367" t="s">
        <v>1092</v>
      </c>
      <c r="M367" t="s">
        <v>1093</v>
      </c>
      <c r="N367" t="s">
        <v>815</v>
      </c>
    </row>
    <row r="368" spans="1:14" x14ac:dyDescent="0.2">
      <c r="A368">
        <v>10358</v>
      </c>
      <c r="B368" t="s">
        <v>1088</v>
      </c>
      <c r="C368">
        <v>5</v>
      </c>
      <c r="D368" s="19">
        <v>35389</v>
      </c>
      <c r="E368" s="19">
        <v>35417</v>
      </c>
      <c r="F368" s="19">
        <v>35396</v>
      </c>
      <c r="G368">
        <v>1</v>
      </c>
      <c r="H368">
        <v>19.64</v>
      </c>
      <c r="I368" t="s">
        <v>1089</v>
      </c>
      <c r="J368" t="s">
        <v>1091</v>
      </c>
      <c r="K368" t="s">
        <v>1092</v>
      </c>
      <c r="M368" t="s">
        <v>1093</v>
      </c>
      <c r="N368" t="s">
        <v>815</v>
      </c>
    </row>
    <row r="369" spans="1:14" x14ac:dyDescent="0.2">
      <c r="A369">
        <v>10371</v>
      </c>
      <c r="B369" t="s">
        <v>1088</v>
      </c>
      <c r="C369">
        <v>1</v>
      </c>
      <c r="D369" s="19">
        <v>35402</v>
      </c>
      <c r="E369" s="19">
        <v>35430</v>
      </c>
      <c r="F369" s="19">
        <v>35423</v>
      </c>
      <c r="G369">
        <v>1</v>
      </c>
      <c r="H369">
        <v>0.45</v>
      </c>
      <c r="I369" t="s">
        <v>1089</v>
      </c>
      <c r="J369" t="s">
        <v>1091</v>
      </c>
      <c r="K369" t="s">
        <v>1092</v>
      </c>
      <c r="M369" t="s">
        <v>1093</v>
      </c>
      <c r="N369" t="s">
        <v>815</v>
      </c>
    </row>
    <row r="370" spans="1:14" x14ac:dyDescent="0.2">
      <c r="A370">
        <v>10413</v>
      </c>
      <c r="B370" t="s">
        <v>1088</v>
      </c>
      <c r="C370">
        <v>3</v>
      </c>
      <c r="D370" s="19">
        <v>35444</v>
      </c>
      <c r="E370" s="19">
        <v>35472</v>
      </c>
      <c r="F370" s="19">
        <v>35446</v>
      </c>
      <c r="G370">
        <v>2</v>
      </c>
      <c r="H370">
        <v>95.66</v>
      </c>
      <c r="I370" t="s">
        <v>1089</v>
      </c>
      <c r="J370" t="s">
        <v>1091</v>
      </c>
      <c r="K370" t="s">
        <v>1092</v>
      </c>
      <c r="M370" t="s">
        <v>1093</v>
      </c>
      <c r="N370" t="s">
        <v>815</v>
      </c>
    </row>
    <row r="371" spans="1:14" x14ac:dyDescent="0.2">
      <c r="A371">
        <v>10425</v>
      </c>
      <c r="B371" t="s">
        <v>1088</v>
      </c>
      <c r="C371">
        <v>6</v>
      </c>
      <c r="D371" s="19">
        <v>35454</v>
      </c>
      <c r="E371" s="19">
        <v>35482</v>
      </c>
      <c r="F371" s="19">
        <v>35475</v>
      </c>
      <c r="G371">
        <v>2</v>
      </c>
      <c r="H371">
        <v>7.93</v>
      </c>
      <c r="I371" t="s">
        <v>1089</v>
      </c>
      <c r="J371" t="s">
        <v>1091</v>
      </c>
      <c r="K371" t="s">
        <v>1092</v>
      </c>
      <c r="M371" t="s">
        <v>1093</v>
      </c>
      <c r="N371" t="s">
        <v>815</v>
      </c>
    </row>
    <row r="372" spans="1:14" x14ac:dyDescent="0.2">
      <c r="A372">
        <v>10454</v>
      </c>
      <c r="B372" t="s">
        <v>1088</v>
      </c>
      <c r="C372">
        <v>4</v>
      </c>
      <c r="D372" s="19">
        <v>35482</v>
      </c>
      <c r="E372" s="19">
        <v>35510</v>
      </c>
      <c r="F372" s="19">
        <v>35486</v>
      </c>
      <c r="G372">
        <v>3</v>
      </c>
      <c r="H372">
        <v>2.74</v>
      </c>
      <c r="I372" t="s">
        <v>1089</v>
      </c>
      <c r="J372" t="s">
        <v>1091</v>
      </c>
      <c r="K372" t="s">
        <v>1092</v>
      </c>
      <c r="M372" t="s">
        <v>1093</v>
      </c>
      <c r="N372" t="s">
        <v>815</v>
      </c>
    </row>
    <row r="373" spans="1:14" x14ac:dyDescent="0.2">
      <c r="A373">
        <v>10493</v>
      </c>
      <c r="B373" t="s">
        <v>1088</v>
      </c>
      <c r="C373">
        <v>4</v>
      </c>
      <c r="D373" s="19">
        <v>35522</v>
      </c>
      <c r="E373" s="19">
        <v>35550</v>
      </c>
      <c r="F373" s="19">
        <v>35530</v>
      </c>
      <c r="G373">
        <v>3</v>
      </c>
      <c r="H373">
        <v>10.64</v>
      </c>
      <c r="I373" t="s">
        <v>1089</v>
      </c>
      <c r="J373" t="s">
        <v>1091</v>
      </c>
      <c r="K373" t="s">
        <v>1092</v>
      </c>
      <c r="M373" t="s">
        <v>1093</v>
      </c>
      <c r="N373" t="s">
        <v>815</v>
      </c>
    </row>
    <row r="374" spans="1:14" x14ac:dyDescent="0.2">
      <c r="A374">
        <v>10500</v>
      </c>
      <c r="B374" t="s">
        <v>1088</v>
      </c>
      <c r="C374">
        <v>6</v>
      </c>
      <c r="D374" s="19">
        <v>35529</v>
      </c>
      <c r="E374" s="19">
        <v>35557</v>
      </c>
      <c r="F374" s="19">
        <v>35537</v>
      </c>
      <c r="G374">
        <v>1</v>
      </c>
      <c r="H374">
        <v>42.68</v>
      </c>
      <c r="I374" t="s">
        <v>1089</v>
      </c>
      <c r="J374" t="s">
        <v>1091</v>
      </c>
      <c r="K374" t="s">
        <v>1092</v>
      </c>
      <c r="M374" t="s">
        <v>1093</v>
      </c>
      <c r="N374" t="s">
        <v>815</v>
      </c>
    </row>
    <row r="375" spans="1:14" x14ac:dyDescent="0.2">
      <c r="A375">
        <v>10610</v>
      </c>
      <c r="B375" t="s">
        <v>1088</v>
      </c>
      <c r="C375">
        <v>8</v>
      </c>
      <c r="D375" s="19">
        <v>35636</v>
      </c>
      <c r="E375" s="19">
        <v>35664</v>
      </c>
      <c r="F375" s="19">
        <v>35648</v>
      </c>
      <c r="G375">
        <v>1</v>
      </c>
      <c r="H375">
        <v>26.78</v>
      </c>
      <c r="I375" t="s">
        <v>1089</v>
      </c>
      <c r="J375" t="s">
        <v>1091</v>
      </c>
      <c r="K375" t="s">
        <v>1092</v>
      </c>
      <c r="M375" t="s">
        <v>1093</v>
      </c>
      <c r="N375" t="s">
        <v>815</v>
      </c>
    </row>
    <row r="376" spans="1:14" x14ac:dyDescent="0.2">
      <c r="A376">
        <v>10631</v>
      </c>
      <c r="B376" t="s">
        <v>1088</v>
      </c>
      <c r="C376">
        <v>8</v>
      </c>
      <c r="D376" s="19">
        <v>35656</v>
      </c>
      <c r="E376" s="19">
        <v>35684</v>
      </c>
      <c r="F376" s="19">
        <v>35657</v>
      </c>
      <c r="G376">
        <v>1</v>
      </c>
      <c r="H376">
        <v>0.87</v>
      </c>
      <c r="I376" t="s">
        <v>1089</v>
      </c>
      <c r="J376" t="s">
        <v>1091</v>
      </c>
      <c r="K376" t="s">
        <v>1092</v>
      </c>
      <c r="M376" t="s">
        <v>1093</v>
      </c>
      <c r="N376" t="s">
        <v>815</v>
      </c>
    </row>
    <row r="377" spans="1:14" x14ac:dyDescent="0.2">
      <c r="A377">
        <v>10787</v>
      </c>
      <c r="B377" t="s">
        <v>1088</v>
      </c>
      <c r="C377">
        <v>2</v>
      </c>
      <c r="D377" s="19">
        <v>35783</v>
      </c>
      <c r="E377" s="19">
        <v>35797</v>
      </c>
      <c r="F377" s="19">
        <v>35790</v>
      </c>
      <c r="G377">
        <v>1</v>
      </c>
      <c r="H377">
        <v>249.93</v>
      </c>
      <c r="I377" t="s">
        <v>1089</v>
      </c>
      <c r="J377" t="s">
        <v>1091</v>
      </c>
      <c r="K377" t="s">
        <v>1092</v>
      </c>
      <c r="M377" t="s">
        <v>1093</v>
      </c>
      <c r="N377" t="s">
        <v>815</v>
      </c>
    </row>
    <row r="378" spans="1:14" x14ac:dyDescent="0.2">
      <c r="A378">
        <v>10832</v>
      </c>
      <c r="B378" t="s">
        <v>1088</v>
      </c>
      <c r="C378">
        <v>2</v>
      </c>
      <c r="D378" s="19">
        <v>35809</v>
      </c>
      <c r="E378" s="19">
        <v>35837</v>
      </c>
      <c r="F378" s="19">
        <v>35814</v>
      </c>
      <c r="G378">
        <v>2</v>
      </c>
      <c r="H378">
        <v>43.26</v>
      </c>
      <c r="I378" t="s">
        <v>1089</v>
      </c>
      <c r="J378" t="s">
        <v>1091</v>
      </c>
      <c r="K378" t="s">
        <v>1092</v>
      </c>
      <c r="M378" t="s">
        <v>1093</v>
      </c>
      <c r="N378" t="s">
        <v>815</v>
      </c>
    </row>
    <row r="379" spans="1:14" x14ac:dyDescent="0.2">
      <c r="A379">
        <v>10923</v>
      </c>
      <c r="B379" t="s">
        <v>1088</v>
      </c>
      <c r="C379">
        <v>7</v>
      </c>
      <c r="D379" s="19">
        <v>35857</v>
      </c>
      <c r="E379" s="19">
        <v>35899</v>
      </c>
      <c r="F379" s="19">
        <v>35867</v>
      </c>
      <c r="G379">
        <v>3</v>
      </c>
      <c r="H379">
        <v>68.260000000000005</v>
      </c>
      <c r="I379" t="s">
        <v>1089</v>
      </c>
      <c r="J379" t="s">
        <v>1091</v>
      </c>
      <c r="K379" t="s">
        <v>1092</v>
      </c>
      <c r="M379" t="s">
        <v>1093</v>
      </c>
      <c r="N379" t="s">
        <v>815</v>
      </c>
    </row>
    <row r="380" spans="1:14" x14ac:dyDescent="0.2">
      <c r="A380">
        <v>11051</v>
      </c>
      <c r="B380" t="s">
        <v>1088</v>
      </c>
      <c r="C380">
        <v>7</v>
      </c>
      <c r="D380" s="19">
        <v>35912</v>
      </c>
      <c r="E380" s="19">
        <v>35940</v>
      </c>
      <c r="F380" s="19"/>
      <c r="G380">
        <v>3</v>
      </c>
      <c r="H380">
        <v>2.79</v>
      </c>
      <c r="I380" t="s">
        <v>1089</v>
      </c>
      <c r="J380" t="s">
        <v>1091</v>
      </c>
      <c r="K380" t="s">
        <v>1092</v>
      </c>
      <c r="M380" t="s">
        <v>1093</v>
      </c>
      <c r="N380" t="s">
        <v>815</v>
      </c>
    </row>
    <row r="381" spans="1:14" x14ac:dyDescent="0.2">
      <c r="A381">
        <v>10495</v>
      </c>
      <c r="B381" t="s">
        <v>1096</v>
      </c>
      <c r="C381">
        <v>3</v>
      </c>
      <c r="D381" s="19">
        <v>35523</v>
      </c>
      <c r="E381" s="19">
        <v>35551</v>
      </c>
      <c r="F381" s="19">
        <v>35531</v>
      </c>
      <c r="G381">
        <v>3</v>
      </c>
      <c r="H381">
        <v>4.6500000000000004</v>
      </c>
      <c r="I381" t="s">
        <v>1097</v>
      </c>
      <c r="J381" t="s">
        <v>1507</v>
      </c>
      <c r="K381" t="s">
        <v>1100</v>
      </c>
      <c r="L381" t="s">
        <v>841</v>
      </c>
      <c r="M381" t="s">
        <v>1101</v>
      </c>
      <c r="N381" t="s">
        <v>843</v>
      </c>
    </row>
    <row r="382" spans="1:14" x14ac:dyDescent="0.2">
      <c r="A382">
        <v>10620</v>
      </c>
      <c r="B382" t="s">
        <v>1096</v>
      </c>
      <c r="C382">
        <v>2</v>
      </c>
      <c r="D382" s="19">
        <v>35647</v>
      </c>
      <c r="E382" s="19">
        <v>35675</v>
      </c>
      <c r="F382" s="19">
        <v>35656</v>
      </c>
      <c r="G382">
        <v>3</v>
      </c>
      <c r="H382">
        <v>0.94</v>
      </c>
      <c r="I382" t="s">
        <v>1097</v>
      </c>
      <c r="J382" t="s">
        <v>1507</v>
      </c>
      <c r="K382" t="s">
        <v>1100</v>
      </c>
      <c r="L382" t="s">
        <v>841</v>
      </c>
      <c r="M382" t="s">
        <v>1101</v>
      </c>
      <c r="N382" t="s">
        <v>843</v>
      </c>
    </row>
    <row r="383" spans="1:14" x14ac:dyDescent="0.2">
      <c r="A383">
        <v>10810</v>
      </c>
      <c r="B383" t="s">
        <v>1096</v>
      </c>
      <c r="C383">
        <v>2</v>
      </c>
      <c r="D383" s="19">
        <v>35796</v>
      </c>
      <c r="E383" s="19">
        <v>35824</v>
      </c>
      <c r="F383" s="19">
        <v>35802</v>
      </c>
      <c r="G383">
        <v>3</v>
      </c>
      <c r="H383">
        <v>4.33</v>
      </c>
      <c r="I383" t="s">
        <v>1097</v>
      </c>
      <c r="J383" t="s">
        <v>1507</v>
      </c>
      <c r="K383" t="s">
        <v>1100</v>
      </c>
      <c r="L383" t="s">
        <v>841</v>
      </c>
      <c r="M383" t="s">
        <v>1101</v>
      </c>
      <c r="N383" t="s">
        <v>843</v>
      </c>
    </row>
    <row r="384" spans="1:14" x14ac:dyDescent="0.2">
      <c r="A384">
        <v>10482</v>
      </c>
      <c r="B384" t="s">
        <v>1104</v>
      </c>
      <c r="C384">
        <v>1</v>
      </c>
      <c r="D384" s="19">
        <v>35510</v>
      </c>
      <c r="E384" s="19">
        <v>35538</v>
      </c>
      <c r="F384" s="19">
        <v>35530</v>
      </c>
      <c r="G384">
        <v>3</v>
      </c>
      <c r="H384">
        <v>7.48</v>
      </c>
      <c r="I384" t="s">
        <v>1105</v>
      </c>
      <c r="J384" t="s">
        <v>1107</v>
      </c>
      <c r="K384" t="s">
        <v>1108</v>
      </c>
      <c r="L384" t="s">
        <v>1109</v>
      </c>
      <c r="M384" t="s">
        <v>1110</v>
      </c>
      <c r="N384" t="s">
        <v>1018</v>
      </c>
    </row>
    <row r="385" spans="1:14" x14ac:dyDescent="0.2">
      <c r="A385">
        <v>10545</v>
      </c>
      <c r="B385" t="s">
        <v>1104</v>
      </c>
      <c r="C385">
        <v>8</v>
      </c>
      <c r="D385" s="19">
        <v>35572</v>
      </c>
      <c r="E385" s="19">
        <v>35600</v>
      </c>
      <c r="F385" s="19">
        <v>35607</v>
      </c>
      <c r="G385">
        <v>2</v>
      </c>
      <c r="H385">
        <v>11.92</v>
      </c>
      <c r="I385" t="s">
        <v>1105</v>
      </c>
      <c r="J385" t="s">
        <v>1107</v>
      </c>
      <c r="K385" t="s">
        <v>1108</v>
      </c>
      <c r="L385" t="s">
        <v>1109</v>
      </c>
      <c r="M385" t="s">
        <v>1110</v>
      </c>
      <c r="N385" t="s">
        <v>1018</v>
      </c>
    </row>
    <row r="386" spans="1:14" x14ac:dyDescent="0.2">
      <c r="A386">
        <v>10279</v>
      </c>
      <c r="B386" t="s">
        <v>1113</v>
      </c>
      <c r="C386">
        <v>8</v>
      </c>
      <c r="D386" s="19">
        <v>35290</v>
      </c>
      <c r="E386" s="19">
        <v>35318</v>
      </c>
      <c r="F386" s="19">
        <v>35293</v>
      </c>
      <c r="G386">
        <v>2</v>
      </c>
      <c r="H386">
        <v>25.83</v>
      </c>
      <c r="I386" t="s">
        <v>1114</v>
      </c>
      <c r="J386" t="s">
        <v>1116</v>
      </c>
      <c r="K386" t="s">
        <v>1117</v>
      </c>
      <c r="M386" t="s">
        <v>1118</v>
      </c>
      <c r="N386" t="s">
        <v>762</v>
      </c>
    </row>
    <row r="387" spans="1:14" x14ac:dyDescent="0.2">
      <c r="A387">
        <v>10284</v>
      </c>
      <c r="B387" t="s">
        <v>1113</v>
      </c>
      <c r="C387">
        <v>4</v>
      </c>
      <c r="D387" s="19">
        <v>35296</v>
      </c>
      <c r="E387" s="19">
        <v>35324</v>
      </c>
      <c r="F387" s="19">
        <v>35304</v>
      </c>
      <c r="G387">
        <v>1</v>
      </c>
      <c r="H387">
        <v>76.56</v>
      </c>
      <c r="I387" t="s">
        <v>1114</v>
      </c>
      <c r="J387" t="s">
        <v>1116</v>
      </c>
      <c r="K387" t="s">
        <v>1117</v>
      </c>
      <c r="M387" t="s">
        <v>1118</v>
      </c>
      <c r="N387" t="s">
        <v>762</v>
      </c>
    </row>
    <row r="388" spans="1:14" x14ac:dyDescent="0.2">
      <c r="A388">
        <v>10343</v>
      </c>
      <c r="B388" t="s">
        <v>1113</v>
      </c>
      <c r="C388">
        <v>4</v>
      </c>
      <c r="D388" s="19">
        <v>35369</v>
      </c>
      <c r="E388" s="19">
        <v>35397</v>
      </c>
      <c r="F388" s="19">
        <v>35375</v>
      </c>
      <c r="G388">
        <v>1</v>
      </c>
      <c r="H388">
        <v>110.37</v>
      </c>
      <c r="I388" t="s">
        <v>1114</v>
      </c>
      <c r="J388" t="s">
        <v>1116</v>
      </c>
      <c r="K388" t="s">
        <v>1117</v>
      </c>
      <c r="M388" t="s">
        <v>1118</v>
      </c>
      <c r="N388" t="s">
        <v>762</v>
      </c>
    </row>
    <row r="389" spans="1:14" x14ac:dyDescent="0.2">
      <c r="A389">
        <v>10497</v>
      </c>
      <c r="B389" t="s">
        <v>1113</v>
      </c>
      <c r="C389">
        <v>7</v>
      </c>
      <c r="D389" s="19">
        <v>35524</v>
      </c>
      <c r="E389" s="19">
        <v>35552</v>
      </c>
      <c r="F389" s="19">
        <v>35527</v>
      </c>
      <c r="G389">
        <v>1</v>
      </c>
      <c r="H389">
        <v>36.21</v>
      </c>
      <c r="I389" t="s">
        <v>1114</v>
      </c>
      <c r="J389" t="s">
        <v>1116</v>
      </c>
      <c r="K389" t="s">
        <v>1117</v>
      </c>
      <c r="M389" t="s">
        <v>1118</v>
      </c>
      <c r="N389" t="s">
        <v>762</v>
      </c>
    </row>
    <row r="390" spans="1:14" x14ac:dyDescent="0.2">
      <c r="A390">
        <v>10522</v>
      </c>
      <c r="B390" t="s">
        <v>1113</v>
      </c>
      <c r="C390">
        <v>4</v>
      </c>
      <c r="D390" s="19">
        <v>35550</v>
      </c>
      <c r="E390" s="19">
        <v>35578</v>
      </c>
      <c r="F390" s="19">
        <v>35556</v>
      </c>
      <c r="G390">
        <v>1</v>
      </c>
      <c r="H390">
        <v>45.33</v>
      </c>
      <c r="I390" t="s">
        <v>1114</v>
      </c>
      <c r="J390" t="s">
        <v>1116</v>
      </c>
      <c r="K390" t="s">
        <v>1117</v>
      </c>
      <c r="M390" t="s">
        <v>1118</v>
      </c>
      <c r="N390" t="s">
        <v>762</v>
      </c>
    </row>
    <row r="391" spans="1:14" x14ac:dyDescent="0.2">
      <c r="A391">
        <v>10534</v>
      </c>
      <c r="B391" t="s">
        <v>1113</v>
      </c>
      <c r="C391">
        <v>8</v>
      </c>
      <c r="D391" s="19">
        <v>35562</v>
      </c>
      <c r="E391" s="19">
        <v>35590</v>
      </c>
      <c r="F391" s="19">
        <v>35564</v>
      </c>
      <c r="G391">
        <v>2</v>
      </c>
      <c r="H391">
        <v>27.94</v>
      </c>
      <c r="I391" t="s">
        <v>1114</v>
      </c>
      <c r="J391" t="s">
        <v>1116</v>
      </c>
      <c r="K391" t="s">
        <v>1117</v>
      </c>
      <c r="M391" t="s">
        <v>1118</v>
      </c>
      <c r="N391" t="s">
        <v>762</v>
      </c>
    </row>
    <row r="392" spans="1:14" x14ac:dyDescent="0.2">
      <c r="A392">
        <v>10536</v>
      </c>
      <c r="B392" t="s">
        <v>1113</v>
      </c>
      <c r="C392">
        <v>3</v>
      </c>
      <c r="D392" s="19">
        <v>35564</v>
      </c>
      <c r="E392" s="19">
        <v>35592</v>
      </c>
      <c r="F392" s="19">
        <v>35587</v>
      </c>
      <c r="G392">
        <v>2</v>
      </c>
      <c r="H392">
        <v>58.88</v>
      </c>
      <c r="I392" t="s">
        <v>1114</v>
      </c>
      <c r="J392" t="s">
        <v>1116</v>
      </c>
      <c r="K392" t="s">
        <v>1117</v>
      </c>
      <c r="M392" t="s">
        <v>1118</v>
      </c>
      <c r="N392" t="s">
        <v>762</v>
      </c>
    </row>
    <row r="393" spans="1:14" x14ac:dyDescent="0.2">
      <c r="A393">
        <v>10557</v>
      </c>
      <c r="B393" t="s">
        <v>1113</v>
      </c>
      <c r="C393">
        <v>9</v>
      </c>
      <c r="D393" s="19">
        <v>35584</v>
      </c>
      <c r="E393" s="19">
        <v>35598</v>
      </c>
      <c r="F393" s="19">
        <v>35587</v>
      </c>
      <c r="G393">
        <v>2</v>
      </c>
      <c r="H393">
        <v>96.72</v>
      </c>
      <c r="I393" t="s">
        <v>1114</v>
      </c>
      <c r="J393" t="s">
        <v>1116</v>
      </c>
      <c r="K393" t="s">
        <v>1117</v>
      </c>
      <c r="M393" t="s">
        <v>1118</v>
      </c>
      <c r="N393" t="s">
        <v>762</v>
      </c>
    </row>
    <row r="394" spans="1:14" x14ac:dyDescent="0.2">
      <c r="A394">
        <v>10592</v>
      </c>
      <c r="B394" t="s">
        <v>1113</v>
      </c>
      <c r="C394">
        <v>3</v>
      </c>
      <c r="D394" s="19">
        <v>35619</v>
      </c>
      <c r="E394" s="19">
        <v>35647</v>
      </c>
      <c r="F394" s="19">
        <v>35627</v>
      </c>
      <c r="G394">
        <v>1</v>
      </c>
      <c r="H394">
        <v>32.1</v>
      </c>
      <c r="I394" t="s">
        <v>1114</v>
      </c>
      <c r="J394" t="s">
        <v>1116</v>
      </c>
      <c r="K394" t="s">
        <v>1117</v>
      </c>
      <c r="M394" t="s">
        <v>1118</v>
      </c>
      <c r="N394" t="s">
        <v>762</v>
      </c>
    </row>
    <row r="395" spans="1:14" x14ac:dyDescent="0.2">
      <c r="A395">
        <v>10593</v>
      </c>
      <c r="B395" t="s">
        <v>1113</v>
      </c>
      <c r="C395">
        <v>7</v>
      </c>
      <c r="D395" s="19">
        <v>35620</v>
      </c>
      <c r="E395" s="19">
        <v>35648</v>
      </c>
      <c r="F395" s="19">
        <v>35655</v>
      </c>
      <c r="G395">
        <v>2</v>
      </c>
      <c r="H395">
        <v>174.2</v>
      </c>
      <c r="I395" t="s">
        <v>1114</v>
      </c>
      <c r="J395" t="s">
        <v>1116</v>
      </c>
      <c r="K395" t="s">
        <v>1117</v>
      </c>
      <c r="M395" t="s">
        <v>1118</v>
      </c>
      <c r="N395" t="s">
        <v>762</v>
      </c>
    </row>
    <row r="396" spans="1:14" x14ac:dyDescent="0.2">
      <c r="A396">
        <v>10772</v>
      </c>
      <c r="B396" t="s">
        <v>1113</v>
      </c>
      <c r="C396">
        <v>3</v>
      </c>
      <c r="D396" s="19">
        <v>35774</v>
      </c>
      <c r="E396" s="19">
        <v>35802</v>
      </c>
      <c r="F396" s="19">
        <v>35783</v>
      </c>
      <c r="G396">
        <v>2</v>
      </c>
      <c r="H396">
        <v>91.28</v>
      </c>
      <c r="I396" t="s">
        <v>1114</v>
      </c>
      <c r="J396" t="s">
        <v>1116</v>
      </c>
      <c r="K396" t="s">
        <v>1117</v>
      </c>
      <c r="M396" t="s">
        <v>1118</v>
      </c>
      <c r="N396" t="s">
        <v>762</v>
      </c>
    </row>
    <row r="397" spans="1:14" x14ac:dyDescent="0.2">
      <c r="A397">
        <v>10862</v>
      </c>
      <c r="B397" t="s">
        <v>1113</v>
      </c>
      <c r="C397">
        <v>8</v>
      </c>
      <c r="D397" s="19">
        <v>35825</v>
      </c>
      <c r="E397" s="19">
        <v>35867</v>
      </c>
      <c r="F397" s="19">
        <v>35828</v>
      </c>
      <c r="G397">
        <v>2</v>
      </c>
      <c r="H397">
        <v>53.23</v>
      </c>
      <c r="I397" t="s">
        <v>1114</v>
      </c>
      <c r="J397" t="s">
        <v>1116</v>
      </c>
      <c r="K397" t="s">
        <v>1117</v>
      </c>
      <c r="M397" t="s">
        <v>1118</v>
      </c>
      <c r="N397" t="s">
        <v>762</v>
      </c>
    </row>
    <row r="398" spans="1:14" x14ac:dyDescent="0.2">
      <c r="A398">
        <v>10891</v>
      </c>
      <c r="B398" t="s">
        <v>1113</v>
      </c>
      <c r="C398">
        <v>7</v>
      </c>
      <c r="D398" s="19">
        <v>35843</v>
      </c>
      <c r="E398" s="19">
        <v>35871</v>
      </c>
      <c r="F398" s="19">
        <v>35845</v>
      </c>
      <c r="G398">
        <v>2</v>
      </c>
      <c r="H398">
        <v>20.37</v>
      </c>
      <c r="I398" t="s">
        <v>1114</v>
      </c>
      <c r="J398" t="s">
        <v>1116</v>
      </c>
      <c r="K398" t="s">
        <v>1117</v>
      </c>
      <c r="M398" t="s">
        <v>1118</v>
      </c>
      <c r="N398" t="s">
        <v>762</v>
      </c>
    </row>
    <row r="399" spans="1:14" x14ac:dyDescent="0.2">
      <c r="A399">
        <v>10934</v>
      </c>
      <c r="B399" t="s">
        <v>1113</v>
      </c>
      <c r="C399">
        <v>3</v>
      </c>
      <c r="D399" s="19">
        <v>35863</v>
      </c>
      <c r="E399" s="19">
        <v>35891</v>
      </c>
      <c r="F399" s="19">
        <v>35866</v>
      </c>
      <c r="G399">
        <v>3</v>
      </c>
      <c r="H399">
        <v>32.01</v>
      </c>
      <c r="I399" t="s">
        <v>1114</v>
      </c>
      <c r="J399" t="s">
        <v>1116</v>
      </c>
      <c r="K399" t="s">
        <v>1117</v>
      </c>
      <c r="M399" t="s">
        <v>1118</v>
      </c>
      <c r="N399" t="s">
        <v>762</v>
      </c>
    </row>
    <row r="400" spans="1:14" x14ac:dyDescent="0.2">
      <c r="A400">
        <v>11070</v>
      </c>
      <c r="B400" t="s">
        <v>1113</v>
      </c>
      <c r="C400">
        <v>2</v>
      </c>
      <c r="D400" s="19">
        <v>35920</v>
      </c>
      <c r="E400" s="19">
        <v>35948</v>
      </c>
      <c r="F400" s="19"/>
      <c r="G400">
        <v>1</v>
      </c>
      <c r="H400">
        <v>136</v>
      </c>
      <c r="I400" t="s">
        <v>1114</v>
      </c>
      <c r="J400" t="s">
        <v>1116</v>
      </c>
      <c r="K400" t="s">
        <v>1117</v>
      </c>
      <c r="M400" t="s">
        <v>1118</v>
      </c>
      <c r="N400" t="s">
        <v>762</v>
      </c>
    </row>
    <row r="401" spans="1:14" x14ac:dyDescent="0.2">
      <c r="A401">
        <v>10579</v>
      </c>
      <c r="B401" t="s">
        <v>1121</v>
      </c>
      <c r="C401">
        <v>1</v>
      </c>
      <c r="D401" s="19">
        <v>35606</v>
      </c>
      <c r="E401" s="19">
        <v>35634</v>
      </c>
      <c r="F401" s="19">
        <v>35615</v>
      </c>
      <c r="G401">
        <v>2</v>
      </c>
      <c r="H401">
        <v>13.73</v>
      </c>
      <c r="I401" t="s">
        <v>1122</v>
      </c>
      <c r="J401" t="s">
        <v>1124</v>
      </c>
      <c r="K401" t="s">
        <v>1125</v>
      </c>
      <c r="L401" t="s">
        <v>1126</v>
      </c>
      <c r="M401" t="s">
        <v>1127</v>
      </c>
      <c r="N401" t="s">
        <v>1018</v>
      </c>
    </row>
    <row r="402" spans="1:14" x14ac:dyDescent="0.2">
      <c r="A402">
        <v>10719</v>
      </c>
      <c r="B402" t="s">
        <v>1121</v>
      </c>
      <c r="C402">
        <v>8</v>
      </c>
      <c r="D402" s="19">
        <v>35730</v>
      </c>
      <c r="E402" s="19">
        <v>35758</v>
      </c>
      <c r="F402" s="19">
        <v>35739</v>
      </c>
      <c r="G402">
        <v>2</v>
      </c>
      <c r="H402">
        <v>51.44</v>
      </c>
      <c r="I402" t="s">
        <v>1122</v>
      </c>
      <c r="J402" t="s">
        <v>1124</v>
      </c>
      <c r="K402" t="s">
        <v>1125</v>
      </c>
      <c r="L402" t="s">
        <v>1126</v>
      </c>
      <c r="M402" t="s">
        <v>1127</v>
      </c>
      <c r="N402" t="s">
        <v>1018</v>
      </c>
    </row>
    <row r="403" spans="1:14" x14ac:dyDescent="0.2">
      <c r="A403">
        <v>10735</v>
      </c>
      <c r="B403" t="s">
        <v>1121</v>
      </c>
      <c r="C403">
        <v>6</v>
      </c>
      <c r="D403" s="19">
        <v>35744</v>
      </c>
      <c r="E403" s="19">
        <v>35772</v>
      </c>
      <c r="F403" s="19">
        <v>35755</v>
      </c>
      <c r="G403">
        <v>2</v>
      </c>
      <c r="H403">
        <v>45.97</v>
      </c>
      <c r="I403" t="s">
        <v>1122</v>
      </c>
      <c r="J403" t="s">
        <v>1124</v>
      </c>
      <c r="K403" t="s">
        <v>1125</v>
      </c>
      <c r="L403" t="s">
        <v>1126</v>
      </c>
      <c r="M403" t="s">
        <v>1127</v>
      </c>
      <c r="N403" t="s">
        <v>1018</v>
      </c>
    </row>
    <row r="404" spans="1:14" x14ac:dyDescent="0.2">
      <c r="A404">
        <v>10884</v>
      </c>
      <c r="B404" t="s">
        <v>1121</v>
      </c>
      <c r="C404">
        <v>4</v>
      </c>
      <c r="D404" s="19">
        <v>35838</v>
      </c>
      <c r="E404" s="19">
        <v>35866</v>
      </c>
      <c r="F404" s="19">
        <v>35839</v>
      </c>
      <c r="G404">
        <v>2</v>
      </c>
      <c r="H404">
        <v>90.97</v>
      </c>
      <c r="I404" t="s">
        <v>1122</v>
      </c>
      <c r="J404" t="s">
        <v>1124</v>
      </c>
      <c r="K404" t="s">
        <v>1125</v>
      </c>
      <c r="L404" t="s">
        <v>1126</v>
      </c>
      <c r="M404" t="s">
        <v>1127</v>
      </c>
      <c r="N404" t="s">
        <v>1018</v>
      </c>
    </row>
    <row r="405" spans="1:14" x14ac:dyDescent="0.2">
      <c r="A405">
        <v>10283</v>
      </c>
      <c r="B405" t="s">
        <v>1129</v>
      </c>
      <c r="C405">
        <v>3</v>
      </c>
      <c r="D405" s="19">
        <v>35293</v>
      </c>
      <c r="E405" s="19">
        <v>35321</v>
      </c>
      <c r="F405" s="19">
        <v>35300</v>
      </c>
      <c r="G405">
        <v>3</v>
      </c>
      <c r="H405">
        <v>84.81</v>
      </c>
      <c r="I405" t="s">
        <v>1130</v>
      </c>
      <c r="J405" t="s">
        <v>1132</v>
      </c>
      <c r="K405" t="s">
        <v>1133</v>
      </c>
      <c r="L405" t="s">
        <v>1134</v>
      </c>
      <c r="M405" t="s">
        <v>1135</v>
      </c>
      <c r="N405" t="s">
        <v>1027</v>
      </c>
    </row>
    <row r="406" spans="1:14" x14ac:dyDescent="0.2">
      <c r="A406">
        <v>10296</v>
      </c>
      <c r="B406" t="s">
        <v>1129</v>
      </c>
      <c r="C406">
        <v>6</v>
      </c>
      <c r="D406" s="19">
        <v>35311</v>
      </c>
      <c r="E406" s="19">
        <v>35339</v>
      </c>
      <c r="F406" s="19">
        <v>35319</v>
      </c>
      <c r="G406">
        <v>1</v>
      </c>
      <c r="H406">
        <v>0.12</v>
      </c>
      <c r="I406" t="s">
        <v>1130</v>
      </c>
      <c r="J406" t="s">
        <v>1132</v>
      </c>
      <c r="K406" t="s">
        <v>1133</v>
      </c>
      <c r="L406" t="s">
        <v>1134</v>
      </c>
      <c r="M406" t="s">
        <v>1135</v>
      </c>
      <c r="N406" t="s">
        <v>1027</v>
      </c>
    </row>
    <row r="407" spans="1:14" x14ac:dyDescent="0.2">
      <c r="A407">
        <v>10330</v>
      </c>
      <c r="B407" t="s">
        <v>1129</v>
      </c>
      <c r="C407">
        <v>3</v>
      </c>
      <c r="D407" s="19">
        <v>35354</v>
      </c>
      <c r="E407" s="19">
        <v>35382</v>
      </c>
      <c r="F407" s="19">
        <v>35366</v>
      </c>
      <c r="G407">
        <v>1</v>
      </c>
      <c r="H407">
        <v>12.75</v>
      </c>
      <c r="I407" t="s">
        <v>1130</v>
      </c>
      <c r="J407" t="s">
        <v>1132</v>
      </c>
      <c r="K407" t="s">
        <v>1133</v>
      </c>
      <c r="L407" t="s">
        <v>1134</v>
      </c>
      <c r="M407" t="s">
        <v>1135</v>
      </c>
      <c r="N407" t="s">
        <v>1027</v>
      </c>
    </row>
    <row r="408" spans="1:14" x14ac:dyDescent="0.2">
      <c r="A408">
        <v>10357</v>
      </c>
      <c r="B408" t="s">
        <v>1129</v>
      </c>
      <c r="C408">
        <v>1</v>
      </c>
      <c r="D408" s="19">
        <v>35388</v>
      </c>
      <c r="E408" s="19">
        <v>35416</v>
      </c>
      <c r="F408" s="19">
        <v>35401</v>
      </c>
      <c r="G408">
        <v>3</v>
      </c>
      <c r="H408">
        <v>34.880000000000003</v>
      </c>
      <c r="I408" t="s">
        <v>1130</v>
      </c>
      <c r="J408" t="s">
        <v>1132</v>
      </c>
      <c r="K408" t="s">
        <v>1133</v>
      </c>
      <c r="L408" t="s">
        <v>1134</v>
      </c>
      <c r="M408" t="s">
        <v>1135</v>
      </c>
      <c r="N408" t="s">
        <v>1027</v>
      </c>
    </row>
    <row r="409" spans="1:14" x14ac:dyDescent="0.2">
      <c r="A409">
        <v>10381</v>
      </c>
      <c r="B409" t="s">
        <v>1129</v>
      </c>
      <c r="C409">
        <v>3</v>
      </c>
      <c r="D409" s="19">
        <v>35411</v>
      </c>
      <c r="E409" s="19">
        <v>35439</v>
      </c>
      <c r="F409" s="19">
        <v>35412</v>
      </c>
      <c r="G409">
        <v>3</v>
      </c>
      <c r="H409">
        <v>7.99</v>
      </c>
      <c r="I409" t="s">
        <v>1130</v>
      </c>
      <c r="J409" t="s">
        <v>1132</v>
      </c>
      <c r="K409" t="s">
        <v>1133</v>
      </c>
      <c r="L409" t="s">
        <v>1134</v>
      </c>
      <c r="M409" t="s">
        <v>1135</v>
      </c>
      <c r="N409" t="s">
        <v>1027</v>
      </c>
    </row>
    <row r="410" spans="1:14" x14ac:dyDescent="0.2">
      <c r="A410">
        <v>10461</v>
      </c>
      <c r="B410" t="s">
        <v>1129</v>
      </c>
      <c r="C410">
        <v>1</v>
      </c>
      <c r="D410" s="19">
        <v>35489</v>
      </c>
      <c r="E410" s="19">
        <v>35517</v>
      </c>
      <c r="F410" s="19">
        <v>35494</v>
      </c>
      <c r="G410">
        <v>3</v>
      </c>
      <c r="H410">
        <v>148.61000000000001</v>
      </c>
      <c r="I410" t="s">
        <v>1130</v>
      </c>
      <c r="J410" t="s">
        <v>1132</v>
      </c>
      <c r="K410" t="s">
        <v>1133</v>
      </c>
      <c r="L410" t="s">
        <v>1134</v>
      </c>
      <c r="M410" t="s">
        <v>1135</v>
      </c>
      <c r="N410" t="s">
        <v>1027</v>
      </c>
    </row>
    <row r="411" spans="1:14" x14ac:dyDescent="0.2">
      <c r="A411">
        <v>10499</v>
      </c>
      <c r="B411" t="s">
        <v>1129</v>
      </c>
      <c r="C411">
        <v>4</v>
      </c>
      <c r="D411" s="19">
        <v>35528</v>
      </c>
      <c r="E411" s="19">
        <v>35556</v>
      </c>
      <c r="F411" s="19">
        <v>35536</v>
      </c>
      <c r="G411">
        <v>2</v>
      </c>
      <c r="H411">
        <v>102.02</v>
      </c>
      <c r="I411" t="s">
        <v>1130</v>
      </c>
      <c r="J411" t="s">
        <v>1132</v>
      </c>
      <c r="K411" t="s">
        <v>1133</v>
      </c>
      <c r="L411" t="s">
        <v>1134</v>
      </c>
      <c r="M411" t="s">
        <v>1135</v>
      </c>
      <c r="N411" t="s">
        <v>1027</v>
      </c>
    </row>
    <row r="412" spans="1:14" x14ac:dyDescent="0.2">
      <c r="A412">
        <v>10543</v>
      </c>
      <c r="B412" t="s">
        <v>1129</v>
      </c>
      <c r="C412">
        <v>8</v>
      </c>
      <c r="D412" s="19">
        <v>35571</v>
      </c>
      <c r="E412" s="19">
        <v>35599</v>
      </c>
      <c r="F412" s="19">
        <v>35573</v>
      </c>
      <c r="G412">
        <v>2</v>
      </c>
      <c r="H412">
        <v>48.17</v>
      </c>
      <c r="I412" t="s">
        <v>1130</v>
      </c>
      <c r="J412" t="s">
        <v>1132</v>
      </c>
      <c r="K412" t="s">
        <v>1133</v>
      </c>
      <c r="L412" t="s">
        <v>1134</v>
      </c>
      <c r="M412" t="s">
        <v>1135</v>
      </c>
      <c r="N412" t="s">
        <v>1027</v>
      </c>
    </row>
    <row r="413" spans="1:14" x14ac:dyDescent="0.2">
      <c r="A413">
        <v>10780</v>
      </c>
      <c r="B413" t="s">
        <v>1129</v>
      </c>
      <c r="C413">
        <v>2</v>
      </c>
      <c r="D413" s="19">
        <v>35780</v>
      </c>
      <c r="E413" s="19">
        <v>35794</v>
      </c>
      <c r="F413" s="19">
        <v>35789</v>
      </c>
      <c r="G413">
        <v>1</v>
      </c>
      <c r="H413">
        <v>42.13</v>
      </c>
      <c r="I413" t="s">
        <v>1130</v>
      </c>
      <c r="J413" t="s">
        <v>1132</v>
      </c>
      <c r="K413" t="s">
        <v>1133</v>
      </c>
      <c r="L413" t="s">
        <v>1134</v>
      </c>
      <c r="M413" t="s">
        <v>1135</v>
      </c>
      <c r="N413" t="s">
        <v>1027</v>
      </c>
    </row>
    <row r="414" spans="1:14" x14ac:dyDescent="0.2">
      <c r="A414">
        <v>10823</v>
      </c>
      <c r="B414" t="s">
        <v>1129</v>
      </c>
      <c r="C414">
        <v>5</v>
      </c>
      <c r="D414" s="19">
        <v>35804</v>
      </c>
      <c r="E414" s="19">
        <v>35832</v>
      </c>
      <c r="F414" s="19">
        <v>35808</v>
      </c>
      <c r="G414">
        <v>2</v>
      </c>
      <c r="H414">
        <v>163.97</v>
      </c>
      <c r="I414" t="s">
        <v>1130</v>
      </c>
      <c r="J414" t="s">
        <v>1132</v>
      </c>
      <c r="K414" t="s">
        <v>1133</v>
      </c>
      <c r="L414" t="s">
        <v>1134</v>
      </c>
      <c r="M414" t="s">
        <v>1135</v>
      </c>
      <c r="N414" t="s">
        <v>1027</v>
      </c>
    </row>
    <row r="415" spans="1:14" x14ac:dyDescent="0.2">
      <c r="A415">
        <v>10899</v>
      </c>
      <c r="B415" t="s">
        <v>1129</v>
      </c>
      <c r="C415">
        <v>5</v>
      </c>
      <c r="D415" s="19">
        <v>35846</v>
      </c>
      <c r="E415" s="19">
        <v>35874</v>
      </c>
      <c r="F415" s="19">
        <v>35852</v>
      </c>
      <c r="G415">
        <v>3</v>
      </c>
      <c r="H415">
        <v>1.21</v>
      </c>
      <c r="I415" t="s">
        <v>1130</v>
      </c>
      <c r="J415" t="s">
        <v>1132</v>
      </c>
      <c r="K415" t="s">
        <v>1133</v>
      </c>
      <c r="L415" t="s">
        <v>1134</v>
      </c>
      <c r="M415" t="s">
        <v>1135</v>
      </c>
      <c r="N415" t="s">
        <v>1027</v>
      </c>
    </row>
    <row r="416" spans="1:14" x14ac:dyDescent="0.2">
      <c r="A416">
        <v>10997</v>
      </c>
      <c r="B416" t="s">
        <v>1129</v>
      </c>
      <c r="C416">
        <v>8</v>
      </c>
      <c r="D416" s="19">
        <v>35888</v>
      </c>
      <c r="E416" s="19">
        <v>35930</v>
      </c>
      <c r="F416" s="19">
        <v>35898</v>
      </c>
      <c r="G416">
        <v>2</v>
      </c>
      <c r="H416">
        <v>73.91</v>
      </c>
      <c r="I416" t="s">
        <v>1130</v>
      </c>
      <c r="J416" t="s">
        <v>1132</v>
      </c>
      <c r="K416" t="s">
        <v>1133</v>
      </c>
      <c r="L416" t="s">
        <v>1134</v>
      </c>
      <c r="M416" t="s">
        <v>1135</v>
      </c>
      <c r="N416" t="s">
        <v>1027</v>
      </c>
    </row>
    <row r="417" spans="1:14" x14ac:dyDescent="0.2">
      <c r="A417">
        <v>11065</v>
      </c>
      <c r="B417" t="s">
        <v>1129</v>
      </c>
      <c r="C417">
        <v>8</v>
      </c>
      <c r="D417" s="19">
        <v>35916</v>
      </c>
      <c r="E417" s="19">
        <v>35944</v>
      </c>
      <c r="F417" s="19"/>
      <c r="G417">
        <v>1</v>
      </c>
      <c r="H417">
        <v>12.91</v>
      </c>
      <c r="I417" t="s">
        <v>1130</v>
      </c>
      <c r="J417" t="s">
        <v>1132</v>
      </c>
      <c r="K417" t="s">
        <v>1133</v>
      </c>
      <c r="L417" t="s">
        <v>1134</v>
      </c>
      <c r="M417" t="s">
        <v>1135</v>
      </c>
      <c r="N417" t="s">
        <v>1027</v>
      </c>
    </row>
    <row r="418" spans="1:14" x14ac:dyDescent="0.2">
      <c r="A418">
        <v>11071</v>
      </c>
      <c r="B418" t="s">
        <v>1129</v>
      </c>
      <c r="C418">
        <v>1</v>
      </c>
      <c r="D418" s="19">
        <v>35920</v>
      </c>
      <c r="E418" s="19">
        <v>35948</v>
      </c>
      <c r="F418" s="19"/>
      <c r="G418">
        <v>1</v>
      </c>
      <c r="H418">
        <v>0.93</v>
      </c>
      <c r="I418" t="s">
        <v>1130</v>
      </c>
      <c r="J418" t="s">
        <v>1132</v>
      </c>
      <c r="K418" t="s">
        <v>1133</v>
      </c>
      <c r="L418" t="s">
        <v>1134</v>
      </c>
      <c r="M418" t="s">
        <v>1135</v>
      </c>
      <c r="N418" t="s">
        <v>1027</v>
      </c>
    </row>
    <row r="419" spans="1:14" x14ac:dyDescent="0.2">
      <c r="A419">
        <v>10405</v>
      </c>
      <c r="B419" t="s">
        <v>1138</v>
      </c>
      <c r="C419">
        <v>1</v>
      </c>
      <c r="D419" s="19">
        <v>35436</v>
      </c>
      <c r="E419" s="19">
        <v>35464</v>
      </c>
      <c r="F419" s="19">
        <v>35452</v>
      </c>
      <c r="G419">
        <v>1</v>
      </c>
      <c r="H419">
        <v>34.82</v>
      </c>
      <c r="I419" t="s">
        <v>1139</v>
      </c>
      <c r="J419" t="s">
        <v>1141</v>
      </c>
      <c r="K419" t="s">
        <v>1142</v>
      </c>
      <c r="L419" t="s">
        <v>1143</v>
      </c>
      <c r="M419" t="s">
        <v>1144</v>
      </c>
      <c r="N419" t="s">
        <v>1027</v>
      </c>
    </row>
    <row r="420" spans="1:14" x14ac:dyDescent="0.2">
      <c r="A420">
        <v>10485</v>
      </c>
      <c r="B420" t="s">
        <v>1138</v>
      </c>
      <c r="C420">
        <v>4</v>
      </c>
      <c r="D420" s="19">
        <v>35514</v>
      </c>
      <c r="E420" s="19">
        <v>35528</v>
      </c>
      <c r="F420" s="19">
        <v>35520</v>
      </c>
      <c r="G420">
        <v>2</v>
      </c>
      <c r="H420">
        <v>64.45</v>
      </c>
      <c r="I420" t="s">
        <v>1139</v>
      </c>
      <c r="J420" t="s">
        <v>1141</v>
      </c>
      <c r="K420" t="s">
        <v>1142</v>
      </c>
      <c r="L420" t="s">
        <v>1143</v>
      </c>
      <c r="M420" t="s">
        <v>1144</v>
      </c>
      <c r="N420" t="s">
        <v>1027</v>
      </c>
    </row>
    <row r="421" spans="1:14" x14ac:dyDescent="0.2">
      <c r="A421">
        <v>10638</v>
      </c>
      <c r="B421" t="s">
        <v>1138</v>
      </c>
      <c r="C421">
        <v>3</v>
      </c>
      <c r="D421" s="19">
        <v>35662</v>
      </c>
      <c r="E421" s="19">
        <v>35690</v>
      </c>
      <c r="F421" s="19">
        <v>35674</v>
      </c>
      <c r="G421">
        <v>1</v>
      </c>
      <c r="H421">
        <v>158.44</v>
      </c>
      <c r="I421" t="s">
        <v>1139</v>
      </c>
      <c r="J421" t="s">
        <v>1141</v>
      </c>
      <c r="K421" t="s">
        <v>1142</v>
      </c>
      <c r="L421" t="s">
        <v>1143</v>
      </c>
      <c r="M421" t="s">
        <v>1144</v>
      </c>
      <c r="N421" t="s">
        <v>1027</v>
      </c>
    </row>
    <row r="422" spans="1:14" x14ac:dyDescent="0.2">
      <c r="A422">
        <v>10697</v>
      </c>
      <c r="B422" t="s">
        <v>1138</v>
      </c>
      <c r="C422">
        <v>3</v>
      </c>
      <c r="D422" s="19">
        <v>35711</v>
      </c>
      <c r="E422" s="19">
        <v>35739</v>
      </c>
      <c r="F422" s="19">
        <v>35717</v>
      </c>
      <c r="G422">
        <v>1</v>
      </c>
      <c r="H422">
        <v>45.52</v>
      </c>
      <c r="I422" t="s">
        <v>1139</v>
      </c>
      <c r="J422" t="s">
        <v>1141</v>
      </c>
      <c r="K422" t="s">
        <v>1142</v>
      </c>
      <c r="L422" t="s">
        <v>1143</v>
      </c>
      <c r="M422" t="s">
        <v>1144</v>
      </c>
      <c r="N422" t="s">
        <v>1027</v>
      </c>
    </row>
    <row r="423" spans="1:14" x14ac:dyDescent="0.2">
      <c r="A423">
        <v>10729</v>
      </c>
      <c r="B423" t="s">
        <v>1138</v>
      </c>
      <c r="C423">
        <v>8</v>
      </c>
      <c r="D423" s="19">
        <v>35738</v>
      </c>
      <c r="E423" s="19">
        <v>35780</v>
      </c>
      <c r="F423" s="19">
        <v>35748</v>
      </c>
      <c r="G423">
        <v>3</v>
      </c>
      <c r="H423">
        <v>141.06</v>
      </c>
      <c r="I423" t="s">
        <v>1139</v>
      </c>
      <c r="J423" t="s">
        <v>1141</v>
      </c>
      <c r="K423" t="s">
        <v>1142</v>
      </c>
      <c r="L423" t="s">
        <v>1143</v>
      </c>
      <c r="M423" t="s">
        <v>1144</v>
      </c>
      <c r="N423" t="s">
        <v>1027</v>
      </c>
    </row>
    <row r="424" spans="1:14" x14ac:dyDescent="0.2">
      <c r="A424">
        <v>10811</v>
      </c>
      <c r="B424" t="s">
        <v>1138</v>
      </c>
      <c r="C424">
        <v>8</v>
      </c>
      <c r="D424" s="19">
        <v>35797</v>
      </c>
      <c r="E424" s="19">
        <v>35825</v>
      </c>
      <c r="F424" s="19">
        <v>35803</v>
      </c>
      <c r="G424">
        <v>1</v>
      </c>
      <c r="H424">
        <v>31.22</v>
      </c>
      <c r="I424" t="s">
        <v>1139</v>
      </c>
      <c r="J424" t="s">
        <v>1141</v>
      </c>
      <c r="K424" t="s">
        <v>1142</v>
      </c>
      <c r="L424" t="s">
        <v>1143</v>
      </c>
      <c r="M424" t="s">
        <v>1144</v>
      </c>
      <c r="N424" t="s">
        <v>1027</v>
      </c>
    </row>
    <row r="425" spans="1:14" x14ac:dyDescent="0.2">
      <c r="A425">
        <v>10838</v>
      </c>
      <c r="B425" t="s">
        <v>1138</v>
      </c>
      <c r="C425">
        <v>3</v>
      </c>
      <c r="D425" s="19">
        <v>35814</v>
      </c>
      <c r="E425" s="19">
        <v>35842</v>
      </c>
      <c r="F425" s="19">
        <v>35818</v>
      </c>
      <c r="G425">
        <v>3</v>
      </c>
      <c r="H425">
        <v>59.28</v>
      </c>
      <c r="I425" t="s">
        <v>1139</v>
      </c>
      <c r="J425" t="s">
        <v>1141</v>
      </c>
      <c r="K425" t="s">
        <v>1142</v>
      </c>
      <c r="L425" t="s">
        <v>1143</v>
      </c>
      <c r="M425" t="s">
        <v>1144</v>
      </c>
      <c r="N425" t="s">
        <v>1027</v>
      </c>
    </row>
    <row r="426" spans="1:14" x14ac:dyDescent="0.2">
      <c r="A426">
        <v>10840</v>
      </c>
      <c r="B426" t="s">
        <v>1138</v>
      </c>
      <c r="C426">
        <v>4</v>
      </c>
      <c r="D426" s="19">
        <v>35814</v>
      </c>
      <c r="E426" s="19">
        <v>35856</v>
      </c>
      <c r="F426" s="19">
        <v>35842</v>
      </c>
      <c r="G426">
        <v>2</v>
      </c>
      <c r="H426">
        <v>2.71</v>
      </c>
      <c r="I426" t="s">
        <v>1139</v>
      </c>
      <c r="J426" t="s">
        <v>1141</v>
      </c>
      <c r="K426" t="s">
        <v>1142</v>
      </c>
      <c r="L426" t="s">
        <v>1143</v>
      </c>
      <c r="M426" t="s">
        <v>1144</v>
      </c>
      <c r="N426" t="s">
        <v>1027</v>
      </c>
    </row>
    <row r="427" spans="1:14" x14ac:dyDescent="0.2">
      <c r="A427">
        <v>10919</v>
      </c>
      <c r="B427" t="s">
        <v>1138</v>
      </c>
      <c r="C427">
        <v>2</v>
      </c>
      <c r="D427" s="19">
        <v>35856</v>
      </c>
      <c r="E427" s="19">
        <v>35884</v>
      </c>
      <c r="F427" s="19">
        <v>35858</v>
      </c>
      <c r="G427">
        <v>2</v>
      </c>
      <c r="H427">
        <v>19.8</v>
      </c>
      <c r="I427" t="s">
        <v>1139</v>
      </c>
      <c r="J427" t="s">
        <v>1141</v>
      </c>
      <c r="K427" t="s">
        <v>1142</v>
      </c>
      <c r="L427" t="s">
        <v>1143</v>
      </c>
      <c r="M427" t="s">
        <v>1144</v>
      </c>
      <c r="N427" t="s">
        <v>1027</v>
      </c>
    </row>
    <row r="428" spans="1:14" x14ac:dyDescent="0.2">
      <c r="A428">
        <v>10954</v>
      </c>
      <c r="B428" t="s">
        <v>1138</v>
      </c>
      <c r="C428">
        <v>5</v>
      </c>
      <c r="D428" s="19">
        <v>35871</v>
      </c>
      <c r="E428" s="19">
        <v>35913</v>
      </c>
      <c r="F428" s="19">
        <v>35874</v>
      </c>
      <c r="G428">
        <v>1</v>
      </c>
      <c r="H428">
        <v>27.91</v>
      </c>
      <c r="I428" t="s">
        <v>1139</v>
      </c>
      <c r="J428" t="s">
        <v>1141</v>
      </c>
      <c r="K428" t="s">
        <v>1142</v>
      </c>
      <c r="L428" t="s">
        <v>1143</v>
      </c>
      <c r="M428" t="s">
        <v>1144</v>
      </c>
      <c r="N428" t="s">
        <v>1027</v>
      </c>
    </row>
    <row r="429" spans="1:14" x14ac:dyDescent="0.2">
      <c r="A429">
        <v>11014</v>
      </c>
      <c r="B429" t="s">
        <v>1138</v>
      </c>
      <c r="C429">
        <v>2</v>
      </c>
      <c r="D429" s="19">
        <v>35895</v>
      </c>
      <c r="E429" s="19">
        <v>35923</v>
      </c>
      <c r="F429" s="19">
        <v>35900</v>
      </c>
      <c r="G429">
        <v>3</v>
      </c>
      <c r="H429">
        <v>23.6</v>
      </c>
      <c r="I429" t="s">
        <v>1139</v>
      </c>
      <c r="J429" t="s">
        <v>1141</v>
      </c>
      <c r="K429" t="s">
        <v>1142</v>
      </c>
      <c r="L429" t="s">
        <v>1143</v>
      </c>
      <c r="M429" t="s">
        <v>1144</v>
      </c>
      <c r="N429" t="s">
        <v>1027</v>
      </c>
    </row>
    <row r="430" spans="1:14" x14ac:dyDescent="0.2">
      <c r="A430">
        <v>11039</v>
      </c>
      <c r="B430" t="s">
        <v>1138</v>
      </c>
      <c r="C430">
        <v>1</v>
      </c>
      <c r="D430" s="19">
        <v>35906</v>
      </c>
      <c r="E430" s="19">
        <v>35934</v>
      </c>
      <c r="F430" s="19"/>
      <c r="G430">
        <v>2</v>
      </c>
      <c r="H430">
        <v>65</v>
      </c>
      <c r="I430" t="s">
        <v>1139</v>
      </c>
      <c r="J430" t="s">
        <v>1141</v>
      </c>
      <c r="K430" t="s">
        <v>1142</v>
      </c>
      <c r="L430" t="s">
        <v>1143</v>
      </c>
      <c r="M430" t="s">
        <v>1144</v>
      </c>
      <c r="N430" t="s">
        <v>1027</v>
      </c>
    </row>
    <row r="431" spans="1:14" x14ac:dyDescent="0.2">
      <c r="A431">
        <v>10307</v>
      </c>
      <c r="B431" t="s">
        <v>1147</v>
      </c>
      <c r="C431">
        <v>2</v>
      </c>
      <c r="D431" s="19">
        <v>35325</v>
      </c>
      <c r="E431" s="19">
        <v>35353</v>
      </c>
      <c r="F431" s="19">
        <v>35333</v>
      </c>
      <c r="G431">
        <v>2</v>
      </c>
      <c r="H431">
        <v>0.56000000000000005</v>
      </c>
      <c r="I431" t="s">
        <v>1148</v>
      </c>
      <c r="J431" t="s">
        <v>1150</v>
      </c>
      <c r="K431" t="s">
        <v>1151</v>
      </c>
      <c r="L431" t="s">
        <v>1016</v>
      </c>
      <c r="M431" t="s">
        <v>1152</v>
      </c>
      <c r="N431" t="s">
        <v>1018</v>
      </c>
    </row>
    <row r="432" spans="1:14" x14ac:dyDescent="0.2">
      <c r="A432">
        <v>10317</v>
      </c>
      <c r="B432" t="s">
        <v>1147</v>
      </c>
      <c r="C432">
        <v>6</v>
      </c>
      <c r="D432" s="19">
        <v>35338</v>
      </c>
      <c r="E432" s="19">
        <v>35366</v>
      </c>
      <c r="F432" s="19">
        <v>35348</v>
      </c>
      <c r="G432">
        <v>1</v>
      </c>
      <c r="H432">
        <v>12.69</v>
      </c>
      <c r="I432" t="s">
        <v>1148</v>
      </c>
      <c r="J432" t="s">
        <v>1150</v>
      </c>
      <c r="K432" t="s">
        <v>1151</v>
      </c>
      <c r="L432" t="s">
        <v>1016</v>
      </c>
      <c r="M432" t="s">
        <v>1152</v>
      </c>
      <c r="N432" t="s">
        <v>1018</v>
      </c>
    </row>
    <row r="433" spans="1:14" x14ac:dyDescent="0.2">
      <c r="A433">
        <v>10544</v>
      </c>
      <c r="B433" t="s">
        <v>1147</v>
      </c>
      <c r="C433">
        <v>4</v>
      </c>
      <c r="D433" s="19">
        <v>35571</v>
      </c>
      <c r="E433" s="19">
        <v>35599</v>
      </c>
      <c r="F433" s="19">
        <v>35580</v>
      </c>
      <c r="G433">
        <v>1</v>
      </c>
      <c r="H433">
        <v>24.91</v>
      </c>
      <c r="I433" t="s">
        <v>1148</v>
      </c>
      <c r="J433" t="s">
        <v>1150</v>
      </c>
      <c r="K433" t="s">
        <v>1151</v>
      </c>
      <c r="L433" t="s">
        <v>1016</v>
      </c>
      <c r="M433" t="s">
        <v>1152</v>
      </c>
      <c r="N433" t="s">
        <v>1018</v>
      </c>
    </row>
    <row r="434" spans="1:14" x14ac:dyDescent="0.2">
      <c r="A434">
        <v>10662</v>
      </c>
      <c r="B434" t="s">
        <v>1147</v>
      </c>
      <c r="C434">
        <v>3</v>
      </c>
      <c r="D434" s="19">
        <v>35682</v>
      </c>
      <c r="E434" s="19">
        <v>35710</v>
      </c>
      <c r="F434" s="19">
        <v>35691</v>
      </c>
      <c r="G434">
        <v>2</v>
      </c>
      <c r="H434">
        <v>1.28</v>
      </c>
      <c r="I434" t="s">
        <v>1148</v>
      </c>
      <c r="J434" t="s">
        <v>1150</v>
      </c>
      <c r="K434" t="s">
        <v>1151</v>
      </c>
      <c r="L434" t="s">
        <v>1016</v>
      </c>
      <c r="M434" t="s">
        <v>1152</v>
      </c>
      <c r="N434" t="s">
        <v>1018</v>
      </c>
    </row>
    <row r="435" spans="1:14" x14ac:dyDescent="0.2">
      <c r="A435">
        <v>10665</v>
      </c>
      <c r="B435" t="s">
        <v>1147</v>
      </c>
      <c r="C435">
        <v>1</v>
      </c>
      <c r="D435" s="19">
        <v>35684</v>
      </c>
      <c r="E435" s="19">
        <v>35712</v>
      </c>
      <c r="F435" s="19">
        <v>35690</v>
      </c>
      <c r="G435">
        <v>2</v>
      </c>
      <c r="H435">
        <v>26.31</v>
      </c>
      <c r="I435" t="s">
        <v>1148</v>
      </c>
      <c r="J435" t="s">
        <v>1150</v>
      </c>
      <c r="K435" t="s">
        <v>1151</v>
      </c>
      <c r="L435" t="s">
        <v>1016</v>
      </c>
      <c r="M435" t="s">
        <v>1152</v>
      </c>
      <c r="N435" t="s">
        <v>1018</v>
      </c>
    </row>
    <row r="436" spans="1:14" x14ac:dyDescent="0.2">
      <c r="A436">
        <v>10867</v>
      </c>
      <c r="B436" t="s">
        <v>1147</v>
      </c>
      <c r="C436">
        <v>6</v>
      </c>
      <c r="D436" s="19">
        <v>35829</v>
      </c>
      <c r="E436" s="19">
        <v>35871</v>
      </c>
      <c r="F436" s="19">
        <v>35837</v>
      </c>
      <c r="G436">
        <v>1</v>
      </c>
      <c r="H436">
        <v>1.93</v>
      </c>
      <c r="I436" t="s">
        <v>1148</v>
      </c>
      <c r="J436" t="s">
        <v>1150</v>
      </c>
      <c r="K436" t="s">
        <v>1151</v>
      </c>
      <c r="L436" t="s">
        <v>1016</v>
      </c>
      <c r="M436" t="s">
        <v>1152</v>
      </c>
      <c r="N436" t="s">
        <v>1018</v>
      </c>
    </row>
    <row r="437" spans="1:14" x14ac:dyDescent="0.2">
      <c r="A437">
        <v>10883</v>
      </c>
      <c r="B437" t="s">
        <v>1147</v>
      </c>
      <c r="C437">
        <v>8</v>
      </c>
      <c r="D437" s="19">
        <v>35838</v>
      </c>
      <c r="E437" s="19">
        <v>35866</v>
      </c>
      <c r="F437" s="19">
        <v>35846</v>
      </c>
      <c r="G437">
        <v>3</v>
      </c>
      <c r="H437">
        <v>0.53</v>
      </c>
      <c r="I437" t="s">
        <v>1148</v>
      </c>
      <c r="J437" t="s">
        <v>1150</v>
      </c>
      <c r="K437" t="s">
        <v>1151</v>
      </c>
      <c r="L437" t="s">
        <v>1016</v>
      </c>
      <c r="M437" t="s">
        <v>1152</v>
      </c>
      <c r="N437" t="s">
        <v>1018</v>
      </c>
    </row>
    <row r="438" spans="1:14" x14ac:dyDescent="0.2">
      <c r="A438">
        <v>11018</v>
      </c>
      <c r="B438" t="s">
        <v>1147</v>
      </c>
      <c r="C438">
        <v>4</v>
      </c>
      <c r="D438" s="19">
        <v>35898</v>
      </c>
      <c r="E438" s="19">
        <v>35926</v>
      </c>
      <c r="F438" s="19">
        <v>35901</v>
      </c>
      <c r="G438">
        <v>2</v>
      </c>
      <c r="H438">
        <v>11.65</v>
      </c>
      <c r="I438" t="s">
        <v>1148</v>
      </c>
      <c r="J438" t="s">
        <v>1150</v>
      </c>
      <c r="K438" t="s">
        <v>1151</v>
      </c>
      <c r="L438" t="s">
        <v>1016</v>
      </c>
      <c r="M438" t="s">
        <v>1152</v>
      </c>
      <c r="N438" t="s">
        <v>1018</v>
      </c>
    </row>
    <row r="439" spans="1:14" x14ac:dyDescent="0.2">
      <c r="A439">
        <v>10275</v>
      </c>
      <c r="B439" t="s">
        <v>1155</v>
      </c>
      <c r="C439">
        <v>1</v>
      </c>
      <c r="D439" s="19">
        <v>35284</v>
      </c>
      <c r="E439" s="19">
        <v>35312</v>
      </c>
      <c r="F439" s="19">
        <v>35286</v>
      </c>
      <c r="G439">
        <v>1</v>
      </c>
      <c r="H439">
        <v>26.93</v>
      </c>
      <c r="I439" t="s">
        <v>1156</v>
      </c>
      <c r="J439" t="s">
        <v>1158</v>
      </c>
      <c r="K439" t="s">
        <v>1159</v>
      </c>
      <c r="M439" t="s">
        <v>1160</v>
      </c>
      <c r="N439" t="s">
        <v>977</v>
      </c>
    </row>
    <row r="440" spans="1:14" x14ac:dyDescent="0.2">
      <c r="A440">
        <v>10300</v>
      </c>
      <c r="B440" t="s">
        <v>1155</v>
      </c>
      <c r="C440">
        <v>2</v>
      </c>
      <c r="D440" s="19">
        <v>35317</v>
      </c>
      <c r="E440" s="19">
        <v>35345</v>
      </c>
      <c r="F440" s="19">
        <v>35326</v>
      </c>
      <c r="G440">
        <v>2</v>
      </c>
      <c r="H440">
        <v>17.68</v>
      </c>
      <c r="I440" t="s">
        <v>1156</v>
      </c>
      <c r="J440" t="s">
        <v>1158</v>
      </c>
      <c r="K440" t="s">
        <v>1159</v>
      </c>
      <c r="M440" t="s">
        <v>1160</v>
      </c>
      <c r="N440" t="s">
        <v>977</v>
      </c>
    </row>
    <row r="441" spans="1:14" x14ac:dyDescent="0.2">
      <c r="A441">
        <v>10404</v>
      </c>
      <c r="B441" t="s">
        <v>1155</v>
      </c>
      <c r="C441">
        <v>2</v>
      </c>
      <c r="D441" s="19">
        <v>35433</v>
      </c>
      <c r="E441" s="19">
        <v>35461</v>
      </c>
      <c r="F441" s="19">
        <v>35438</v>
      </c>
      <c r="G441">
        <v>1</v>
      </c>
      <c r="H441">
        <v>155.97</v>
      </c>
      <c r="I441" t="s">
        <v>1156</v>
      </c>
      <c r="J441" t="s">
        <v>1158</v>
      </c>
      <c r="K441" t="s">
        <v>1159</v>
      </c>
      <c r="M441" t="s">
        <v>1160</v>
      </c>
      <c r="N441" t="s">
        <v>977</v>
      </c>
    </row>
    <row r="442" spans="1:14" x14ac:dyDescent="0.2">
      <c r="A442">
        <v>10467</v>
      </c>
      <c r="B442" t="s">
        <v>1155</v>
      </c>
      <c r="C442">
        <v>8</v>
      </c>
      <c r="D442" s="19">
        <v>35495</v>
      </c>
      <c r="E442" s="19">
        <v>35523</v>
      </c>
      <c r="F442" s="19">
        <v>35500</v>
      </c>
      <c r="G442">
        <v>2</v>
      </c>
      <c r="H442">
        <v>4.93</v>
      </c>
      <c r="I442" t="s">
        <v>1156</v>
      </c>
      <c r="J442" t="s">
        <v>1158</v>
      </c>
      <c r="K442" t="s">
        <v>1159</v>
      </c>
      <c r="M442" t="s">
        <v>1160</v>
      </c>
      <c r="N442" t="s">
        <v>977</v>
      </c>
    </row>
    <row r="443" spans="1:14" x14ac:dyDescent="0.2">
      <c r="A443">
        <v>10635</v>
      </c>
      <c r="B443" t="s">
        <v>1155</v>
      </c>
      <c r="C443">
        <v>8</v>
      </c>
      <c r="D443" s="19">
        <v>35660</v>
      </c>
      <c r="E443" s="19">
        <v>35688</v>
      </c>
      <c r="F443" s="19">
        <v>35663</v>
      </c>
      <c r="G443">
        <v>3</v>
      </c>
      <c r="H443">
        <v>47.46</v>
      </c>
      <c r="I443" t="s">
        <v>1156</v>
      </c>
      <c r="J443" t="s">
        <v>1158</v>
      </c>
      <c r="K443" t="s">
        <v>1159</v>
      </c>
      <c r="M443" t="s">
        <v>1160</v>
      </c>
      <c r="N443" t="s">
        <v>977</v>
      </c>
    </row>
    <row r="444" spans="1:14" x14ac:dyDescent="0.2">
      <c r="A444">
        <v>10754</v>
      </c>
      <c r="B444" t="s">
        <v>1155</v>
      </c>
      <c r="C444">
        <v>6</v>
      </c>
      <c r="D444" s="19">
        <v>35759</v>
      </c>
      <c r="E444" s="19">
        <v>35787</v>
      </c>
      <c r="F444" s="19">
        <v>35761</v>
      </c>
      <c r="G444">
        <v>3</v>
      </c>
      <c r="H444">
        <v>2.38</v>
      </c>
      <c r="I444" t="s">
        <v>1156</v>
      </c>
      <c r="J444" t="s">
        <v>1158</v>
      </c>
      <c r="K444" t="s">
        <v>1159</v>
      </c>
      <c r="M444" t="s">
        <v>1160</v>
      </c>
      <c r="N444" t="s">
        <v>977</v>
      </c>
    </row>
    <row r="445" spans="1:14" x14ac:dyDescent="0.2">
      <c r="A445">
        <v>10784</v>
      </c>
      <c r="B445" t="s">
        <v>1155</v>
      </c>
      <c r="C445">
        <v>4</v>
      </c>
      <c r="D445" s="19">
        <v>35782</v>
      </c>
      <c r="E445" s="19">
        <v>35810</v>
      </c>
      <c r="F445" s="19">
        <v>35786</v>
      </c>
      <c r="G445">
        <v>3</v>
      </c>
      <c r="H445">
        <v>70.09</v>
      </c>
      <c r="I445" t="s">
        <v>1156</v>
      </c>
      <c r="J445" t="s">
        <v>1158</v>
      </c>
      <c r="K445" t="s">
        <v>1159</v>
      </c>
      <c r="M445" t="s">
        <v>1160</v>
      </c>
      <c r="N445" t="s">
        <v>977</v>
      </c>
    </row>
    <row r="446" spans="1:14" x14ac:dyDescent="0.2">
      <c r="A446">
        <v>10818</v>
      </c>
      <c r="B446" t="s">
        <v>1155</v>
      </c>
      <c r="C446">
        <v>7</v>
      </c>
      <c r="D446" s="19">
        <v>35802</v>
      </c>
      <c r="E446" s="19">
        <v>35830</v>
      </c>
      <c r="F446" s="19">
        <v>35807</v>
      </c>
      <c r="G446">
        <v>3</v>
      </c>
      <c r="H446">
        <v>65.48</v>
      </c>
      <c r="I446" t="s">
        <v>1156</v>
      </c>
      <c r="J446" t="s">
        <v>1158</v>
      </c>
      <c r="K446" t="s">
        <v>1159</v>
      </c>
      <c r="M446" t="s">
        <v>1160</v>
      </c>
      <c r="N446" t="s">
        <v>977</v>
      </c>
    </row>
    <row r="447" spans="1:14" x14ac:dyDescent="0.2">
      <c r="A447">
        <v>10939</v>
      </c>
      <c r="B447" t="s">
        <v>1155</v>
      </c>
      <c r="C447">
        <v>2</v>
      </c>
      <c r="D447" s="19">
        <v>35864</v>
      </c>
      <c r="E447" s="19">
        <v>35892</v>
      </c>
      <c r="F447" s="19">
        <v>35867</v>
      </c>
      <c r="G447">
        <v>2</v>
      </c>
      <c r="H447">
        <v>76.33</v>
      </c>
      <c r="I447" t="s">
        <v>1156</v>
      </c>
      <c r="J447" t="s">
        <v>1158</v>
      </c>
      <c r="K447" t="s">
        <v>1159</v>
      </c>
      <c r="M447" t="s">
        <v>1160</v>
      </c>
      <c r="N447" t="s">
        <v>977</v>
      </c>
    </row>
    <row r="448" spans="1:14" x14ac:dyDescent="0.2">
      <c r="A448">
        <v>10950</v>
      </c>
      <c r="B448" t="s">
        <v>1155</v>
      </c>
      <c r="C448">
        <v>1</v>
      </c>
      <c r="D448" s="19">
        <v>35870</v>
      </c>
      <c r="E448" s="19">
        <v>35898</v>
      </c>
      <c r="F448" s="19">
        <v>35877</v>
      </c>
      <c r="G448">
        <v>2</v>
      </c>
      <c r="H448">
        <v>2.5</v>
      </c>
      <c r="I448" t="s">
        <v>1156</v>
      </c>
      <c r="J448" t="s">
        <v>1158</v>
      </c>
      <c r="K448" t="s">
        <v>1159</v>
      </c>
      <c r="M448" t="s">
        <v>1160</v>
      </c>
      <c r="N448" t="s">
        <v>977</v>
      </c>
    </row>
    <row r="449" spans="1:14" x14ac:dyDescent="0.2">
      <c r="A449">
        <v>10529</v>
      </c>
      <c r="B449" t="s">
        <v>1163</v>
      </c>
      <c r="C449">
        <v>5</v>
      </c>
      <c r="D449" s="19">
        <v>35557</v>
      </c>
      <c r="E449" s="19">
        <v>35585</v>
      </c>
      <c r="F449" s="19">
        <v>35559</v>
      </c>
      <c r="G449">
        <v>2</v>
      </c>
      <c r="H449">
        <v>66.69</v>
      </c>
      <c r="I449" t="s">
        <v>1164</v>
      </c>
      <c r="J449" t="s">
        <v>1166</v>
      </c>
      <c r="K449" t="s">
        <v>1167</v>
      </c>
      <c r="M449" t="s">
        <v>1168</v>
      </c>
      <c r="N449" t="s">
        <v>1169</v>
      </c>
    </row>
    <row r="450" spans="1:14" x14ac:dyDescent="0.2">
      <c r="A450">
        <v>10649</v>
      </c>
      <c r="B450" t="s">
        <v>1163</v>
      </c>
      <c r="C450">
        <v>5</v>
      </c>
      <c r="D450" s="19">
        <v>35670</v>
      </c>
      <c r="E450" s="19">
        <v>35698</v>
      </c>
      <c r="F450" s="19">
        <v>35671</v>
      </c>
      <c r="G450">
        <v>3</v>
      </c>
      <c r="H450">
        <v>6.2</v>
      </c>
      <c r="I450" t="s">
        <v>1164</v>
      </c>
      <c r="J450" t="s">
        <v>1166</v>
      </c>
      <c r="K450" t="s">
        <v>1167</v>
      </c>
      <c r="M450" t="s">
        <v>1168</v>
      </c>
      <c r="N450" t="s">
        <v>1169</v>
      </c>
    </row>
    <row r="451" spans="1:14" x14ac:dyDescent="0.2">
      <c r="A451">
        <v>10760</v>
      </c>
      <c r="B451" t="s">
        <v>1163</v>
      </c>
      <c r="C451">
        <v>4</v>
      </c>
      <c r="D451" s="19">
        <v>35765</v>
      </c>
      <c r="E451" s="19">
        <v>35793</v>
      </c>
      <c r="F451" s="19">
        <v>35774</v>
      </c>
      <c r="G451">
        <v>1</v>
      </c>
      <c r="H451">
        <v>155.63999999999999</v>
      </c>
      <c r="I451" t="s">
        <v>1164</v>
      </c>
      <c r="J451" t="s">
        <v>1166</v>
      </c>
      <c r="K451" t="s">
        <v>1167</v>
      </c>
      <c r="M451" t="s">
        <v>1168</v>
      </c>
      <c r="N451" t="s">
        <v>1169</v>
      </c>
    </row>
    <row r="452" spans="1:14" x14ac:dyDescent="0.2">
      <c r="A452">
        <v>10892</v>
      </c>
      <c r="B452" t="s">
        <v>1163</v>
      </c>
      <c r="C452">
        <v>4</v>
      </c>
      <c r="D452" s="19">
        <v>35843</v>
      </c>
      <c r="E452" s="19">
        <v>35871</v>
      </c>
      <c r="F452" s="19">
        <v>35845</v>
      </c>
      <c r="G452">
        <v>2</v>
      </c>
      <c r="H452">
        <v>120.27</v>
      </c>
      <c r="I452" t="s">
        <v>1164</v>
      </c>
      <c r="J452" t="s">
        <v>1166</v>
      </c>
      <c r="K452" t="s">
        <v>1167</v>
      </c>
      <c r="M452" t="s">
        <v>1168</v>
      </c>
      <c r="N452" t="s">
        <v>1169</v>
      </c>
    </row>
    <row r="453" spans="1:14" x14ac:dyDescent="0.2">
      <c r="A453">
        <v>10896</v>
      </c>
      <c r="B453" t="s">
        <v>1163</v>
      </c>
      <c r="C453">
        <v>7</v>
      </c>
      <c r="D453" s="19">
        <v>35845</v>
      </c>
      <c r="E453" s="19">
        <v>35873</v>
      </c>
      <c r="F453" s="19">
        <v>35853</v>
      </c>
      <c r="G453">
        <v>3</v>
      </c>
      <c r="H453">
        <v>32.450000000000003</v>
      </c>
      <c r="I453" t="s">
        <v>1164</v>
      </c>
      <c r="J453" t="s">
        <v>1166</v>
      </c>
      <c r="K453" t="s">
        <v>1167</v>
      </c>
      <c r="M453" t="s">
        <v>1168</v>
      </c>
      <c r="N453" t="s">
        <v>1169</v>
      </c>
    </row>
    <row r="454" spans="1:14" x14ac:dyDescent="0.2">
      <c r="A454">
        <v>10978</v>
      </c>
      <c r="B454" t="s">
        <v>1163</v>
      </c>
      <c r="C454">
        <v>9</v>
      </c>
      <c r="D454" s="19">
        <v>35880</v>
      </c>
      <c r="E454" s="19">
        <v>35908</v>
      </c>
      <c r="F454" s="19">
        <v>35908</v>
      </c>
      <c r="G454">
        <v>2</v>
      </c>
      <c r="H454">
        <v>32.82</v>
      </c>
      <c r="I454" t="s">
        <v>1164</v>
      </c>
      <c r="J454" t="s">
        <v>1166</v>
      </c>
      <c r="K454" t="s">
        <v>1167</v>
      </c>
      <c r="M454" t="s">
        <v>1168</v>
      </c>
      <c r="N454" t="s">
        <v>1169</v>
      </c>
    </row>
    <row r="455" spans="1:14" x14ac:dyDescent="0.2">
      <c r="A455">
        <v>11004</v>
      </c>
      <c r="B455" t="s">
        <v>1163</v>
      </c>
      <c r="C455">
        <v>3</v>
      </c>
      <c r="D455" s="19">
        <v>35892</v>
      </c>
      <c r="E455" s="19">
        <v>35920</v>
      </c>
      <c r="F455" s="19">
        <v>35905</v>
      </c>
      <c r="G455">
        <v>1</v>
      </c>
      <c r="H455">
        <v>44.84</v>
      </c>
      <c r="I455" t="s">
        <v>1164</v>
      </c>
      <c r="J455" t="s">
        <v>1166</v>
      </c>
      <c r="K455" t="s">
        <v>1167</v>
      </c>
      <c r="M455" t="s">
        <v>1168</v>
      </c>
      <c r="N455" t="s">
        <v>1169</v>
      </c>
    </row>
    <row r="456" spans="1:14" x14ac:dyDescent="0.2">
      <c r="A456">
        <v>10332</v>
      </c>
      <c r="B456" t="s">
        <v>1172</v>
      </c>
      <c r="C456">
        <v>3</v>
      </c>
      <c r="D456" s="19">
        <v>35355</v>
      </c>
      <c r="E456" s="19">
        <v>35397</v>
      </c>
      <c r="F456" s="19">
        <v>35359</v>
      </c>
      <c r="G456">
        <v>2</v>
      </c>
      <c r="H456">
        <v>52.84</v>
      </c>
      <c r="I456" t="s">
        <v>1173</v>
      </c>
      <c r="J456" t="s">
        <v>1175</v>
      </c>
      <c r="K456" t="s">
        <v>1176</v>
      </c>
      <c r="L456" t="s">
        <v>1177</v>
      </c>
      <c r="M456" t="s">
        <v>1178</v>
      </c>
      <c r="N456" t="s">
        <v>843</v>
      </c>
    </row>
    <row r="457" spans="1:14" x14ac:dyDescent="0.2">
      <c r="A457">
        <v>10339</v>
      </c>
      <c r="B457" t="s">
        <v>1172</v>
      </c>
      <c r="C457">
        <v>2</v>
      </c>
      <c r="D457" s="19">
        <v>35366</v>
      </c>
      <c r="E457" s="19">
        <v>35394</v>
      </c>
      <c r="F457" s="19">
        <v>35373</v>
      </c>
      <c r="G457">
        <v>2</v>
      </c>
      <c r="H457">
        <v>15.66</v>
      </c>
      <c r="I457" t="s">
        <v>1173</v>
      </c>
      <c r="J457" t="s">
        <v>1175</v>
      </c>
      <c r="K457" t="s">
        <v>1176</v>
      </c>
      <c r="L457" t="s">
        <v>1177</v>
      </c>
      <c r="M457" t="s">
        <v>1178</v>
      </c>
      <c r="N457" t="s">
        <v>843</v>
      </c>
    </row>
    <row r="458" spans="1:14" x14ac:dyDescent="0.2">
      <c r="A458">
        <v>10376</v>
      </c>
      <c r="B458" t="s">
        <v>1172</v>
      </c>
      <c r="C458">
        <v>1</v>
      </c>
      <c r="D458" s="19">
        <v>35408</v>
      </c>
      <c r="E458" s="19">
        <v>35436</v>
      </c>
      <c r="F458" s="19">
        <v>35412</v>
      </c>
      <c r="G458">
        <v>2</v>
      </c>
      <c r="H458">
        <v>20.39</v>
      </c>
      <c r="I458" t="s">
        <v>1173</v>
      </c>
      <c r="J458" t="s">
        <v>1175</v>
      </c>
      <c r="K458" t="s">
        <v>1176</v>
      </c>
      <c r="L458" t="s">
        <v>1177</v>
      </c>
      <c r="M458" t="s">
        <v>1178</v>
      </c>
      <c r="N458" t="s">
        <v>843</v>
      </c>
    </row>
    <row r="459" spans="1:14" x14ac:dyDescent="0.2">
      <c r="A459">
        <v>10424</v>
      </c>
      <c r="B459" t="s">
        <v>1172</v>
      </c>
      <c r="C459">
        <v>7</v>
      </c>
      <c r="D459" s="19">
        <v>35453</v>
      </c>
      <c r="E459" s="19">
        <v>35481</v>
      </c>
      <c r="F459" s="19">
        <v>35457</v>
      </c>
      <c r="G459">
        <v>2</v>
      </c>
      <c r="H459">
        <v>370.61</v>
      </c>
      <c r="I459" t="s">
        <v>1173</v>
      </c>
      <c r="J459" t="s">
        <v>1175</v>
      </c>
      <c r="K459" t="s">
        <v>1176</v>
      </c>
      <c r="L459" t="s">
        <v>1177</v>
      </c>
      <c r="M459" t="s">
        <v>1178</v>
      </c>
      <c r="N459" t="s">
        <v>843</v>
      </c>
    </row>
    <row r="460" spans="1:14" x14ac:dyDescent="0.2">
      <c r="A460">
        <v>10439</v>
      </c>
      <c r="B460" t="s">
        <v>1172</v>
      </c>
      <c r="C460">
        <v>6</v>
      </c>
      <c r="D460" s="19">
        <v>35468</v>
      </c>
      <c r="E460" s="19">
        <v>35496</v>
      </c>
      <c r="F460" s="19">
        <v>35471</v>
      </c>
      <c r="G460">
        <v>3</v>
      </c>
      <c r="H460">
        <v>4.07</v>
      </c>
      <c r="I460" t="s">
        <v>1173</v>
      </c>
      <c r="J460" t="s">
        <v>1175</v>
      </c>
      <c r="K460" t="s">
        <v>1176</v>
      </c>
      <c r="L460" t="s">
        <v>1177</v>
      </c>
      <c r="M460" t="s">
        <v>1178</v>
      </c>
      <c r="N460" t="s">
        <v>843</v>
      </c>
    </row>
    <row r="461" spans="1:14" x14ac:dyDescent="0.2">
      <c r="A461">
        <v>10505</v>
      </c>
      <c r="B461" t="s">
        <v>1172</v>
      </c>
      <c r="C461">
        <v>3</v>
      </c>
      <c r="D461" s="19">
        <v>35534</v>
      </c>
      <c r="E461" s="19">
        <v>35562</v>
      </c>
      <c r="F461" s="19">
        <v>35541</v>
      </c>
      <c r="G461">
        <v>3</v>
      </c>
      <c r="H461">
        <v>7.13</v>
      </c>
      <c r="I461" t="s">
        <v>1173</v>
      </c>
      <c r="J461" t="s">
        <v>1175</v>
      </c>
      <c r="K461" t="s">
        <v>1176</v>
      </c>
      <c r="L461" t="s">
        <v>1177</v>
      </c>
      <c r="M461" t="s">
        <v>1178</v>
      </c>
      <c r="N461" t="s">
        <v>843</v>
      </c>
    </row>
    <row r="462" spans="1:14" x14ac:dyDescent="0.2">
      <c r="A462">
        <v>10565</v>
      </c>
      <c r="B462" t="s">
        <v>1172</v>
      </c>
      <c r="C462">
        <v>8</v>
      </c>
      <c r="D462" s="19">
        <v>35592</v>
      </c>
      <c r="E462" s="19">
        <v>35620</v>
      </c>
      <c r="F462" s="19">
        <v>35599</v>
      </c>
      <c r="G462">
        <v>2</v>
      </c>
      <c r="H462">
        <v>7.15</v>
      </c>
      <c r="I462" t="s">
        <v>1173</v>
      </c>
      <c r="J462" t="s">
        <v>1175</v>
      </c>
      <c r="K462" t="s">
        <v>1176</v>
      </c>
      <c r="L462" t="s">
        <v>1177</v>
      </c>
      <c r="M462" t="s">
        <v>1178</v>
      </c>
      <c r="N462" t="s">
        <v>843</v>
      </c>
    </row>
    <row r="463" spans="1:14" x14ac:dyDescent="0.2">
      <c r="A463">
        <v>10570</v>
      </c>
      <c r="B463" t="s">
        <v>1172</v>
      </c>
      <c r="C463">
        <v>3</v>
      </c>
      <c r="D463" s="19">
        <v>35598</v>
      </c>
      <c r="E463" s="19">
        <v>35626</v>
      </c>
      <c r="F463" s="19">
        <v>35600</v>
      </c>
      <c r="G463">
        <v>3</v>
      </c>
      <c r="H463">
        <v>188.99</v>
      </c>
      <c r="I463" t="s">
        <v>1173</v>
      </c>
      <c r="J463" t="s">
        <v>1175</v>
      </c>
      <c r="K463" t="s">
        <v>1176</v>
      </c>
      <c r="L463" t="s">
        <v>1177</v>
      </c>
      <c r="M463" t="s">
        <v>1178</v>
      </c>
      <c r="N463" t="s">
        <v>843</v>
      </c>
    </row>
    <row r="464" spans="1:14" x14ac:dyDescent="0.2">
      <c r="A464">
        <v>10590</v>
      </c>
      <c r="B464" t="s">
        <v>1172</v>
      </c>
      <c r="C464">
        <v>4</v>
      </c>
      <c r="D464" s="19">
        <v>35618</v>
      </c>
      <c r="E464" s="19">
        <v>35646</v>
      </c>
      <c r="F464" s="19">
        <v>35625</v>
      </c>
      <c r="G464">
        <v>3</v>
      </c>
      <c r="H464">
        <v>44.77</v>
      </c>
      <c r="I464" t="s">
        <v>1173</v>
      </c>
      <c r="J464" t="s">
        <v>1175</v>
      </c>
      <c r="K464" t="s">
        <v>1176</v>
      </c>
      <c r="L464" t="s">
        <v>1177</v>
      </c>
      <c r="M464" t="s">
        <v>1178</v>
      </c>
      <c r="N464" t="s">
        <v>843</v>
      </c>
    </row>
    <row r="465" spans="1:14" x14ac:dyDescent="0.2">
      <c r="A465">
        <v>10605</v>
      </c>
      <c r="B465" t="s">
        <v>1172</v>
      </c>
      <c r="C465">
        <v>1</v>
      </c>
      <c r="D465" s="19">
        <v>35632</v>
      </c>
      <c r="E465" s="19">
        <v>35660</v>
      </c>
      <c r="F465" s="19">
        <v>35640</v>
      </c>
      <c r="G465">
        <v>2</v>
      </c>
      <c r="H465">
        <v>379.13</v>
      </c>
      <c r="I465" t="s">
        <v>1173</v>
      </c>
      <c r="J465" t="s">
        <v>1175</v>
      </c>
      <c r="K465" t="s">
        <v>1176</v>
      </c>
      <c r="L465" t="s">
        <v>1177</v>
      </c>
      <c r="M465" t="s">
        <v>1178</v>
      </c>
      <c r="N465" t="s">
        <v>843</v>
      </c>
    </row>
    <row r="466" spans="1:14" x14ac:dyDescent="0.2">
      <c r="A466">
        <v>10618</v>
      </c>
      <c r="B466" t="s">
        <v>1172</v>
      </c>
      <c r="C466">
        <v>1</v>
      </c>
      <c r="D466" s="19">
        <v>35643</v>
      </c>
      <c r="E466" s="19">
        <v>35685</v>
      </c>
      <c r="F466" s="19">
        <v>35650</v>
      </c>
      <c r="G466">
        <v>1</v>
      </c>
      <c r="H466">
        <v>154.68</v>
      </c>
      <c r="I466" t="s">
        <v>1173</v>
      </c>
      <c r="J466" t="s">
        <v>1175</v>
      </c>
      <c r="K466" t="s">
        <v>1176</v>
      </c>
      <c r="L466" t="s">
        <v>1177</v>
      </c>
      <c r="M466" t="s">
        <v>1178</v>
      </c>
      <c r="N466" t="s">
        <v>843</v>
      </c>
    </row>
    <row r="467" spans="1:14" x14ac:dyDescent="0.2">
      <c r="A467">
        <v>10619</v>
      </c>
      <c r="B467" t="s">
        <v>1172</v>
      </c>
      <c r="C467">
        <v>3</v>
      </c>
      <c r="D467" s="19">
        <v>35646</v>
      </c>
      <c r="E467" s="19">
        <v>35674</v>
      </c>
      <c r="F467" s="19">
        <v>35649</v>
      </c>
      <c r="G467">
        <v>3</v>
      </c>
      <c r="H467">
        <v>91.05</v>
      </c>
      <c r="I467" t="s">
        <v>1173</v>
      </c>
      <c r="J467" t="s">
        <v>1175</v>
      </c>
      <c r="K467" t="s">
        <v>1176</v>
      </c>
      <c r="L467" t="s">
        <v>1177</v>
      </c>
      <c r="M467" t="s">
        <v>1178</v>
      </c>
      <c r="N467" t="s">
        <v>843</v>
      </c>
    </row>
    <row r="468" spans="1:14" x14ac:dyDescent="0.2">
      <c r="A468">
        <v>10724</v>
      </c>
      <c r="B468" t="s">
        <v>1172</v>
      </c>
      <c r="C468">
        <v>8</v>
      </c>
      <c r="D468" s="19">
        <v>35733</v>
      </c>
      <c r="E468" s="19">
        <v>35775</v>
      </c>
      <c r="F468" s="19">
        <v>35739</v>
      </c>
      <c r="G468">
        <v>2</v>
      </c>
      <c r="H468">
        <v>57.75</v>
      </c>
      <c r="I468" t="s">
        <v>1173</v>
      </c>
      <c r="J468" t="s">
        <v>1175</v>
      </c>
      <c r="K468" t="s">
        <v>1176</v>
      </c>
      <c r="L468" t="s">
        <v>1177</v>
      </c>
      <c r="M468" t="s">
        <v>1178</v>
      </c>
      <c r="N468" t="s">
        <v>843</v>
      </c>
    </row>
    <row r="469" spans="1:14" x14ac:dyDescent="0.2">
      <c r="A469">
        <v>10277</v>
      </c>
      <c r="B469" t="s">
        <v>1181</v>
      </c>
      <c r="C469">
        <v>2</v>
      </c>
      <c r="D469" s="19">
        <v>35286</v>
      </c>
      <c r="E469" s="19">
        <v>35314</v>
      </c>
      <c r="F469" s="19">
        <v>35290</v>
      </c>
      <c r="G469">
        <v>3</v>
      </c>
      <c r="H469">
        <v>125.77</v>
      </c>
      <c r="I469" t="s">
        <v>1182</v>
      </c>
      <c r="J469" t="s">
        <v>1184</v>
      </c>
      <c r="K469" t="s">
        <v>1185</v>
      </c>
      <c r="M469" t="s">
        <v>1186</v>
      </c>
      <c r="N469" t="s">
        <v>762</v>
      </c>
    </row>
    <row r="470" spans="1:14" x14ac:dyDescent="0.2">
      <c r="A470">
        <v>10575</v>
      </c>
      <c r="B470" t="s">
        <v>1181</v>
      </c>
      <c r="C470">
        <v>5</v>
      </c>
      <c r="D470" s="19">
        <v>35601</v>
      </c>
      <c r="E470" s="19">
        <v>35615</v>
      </c>
      <c r="F470" s="19">
        <v>35611</v>
      </c>
      <c r="G470">
        <v>1</v>
      </c>
      <c r="H470">
        <v>127.34</v>
      </c>
      <c r="I470" t="s">
        <v>1182</v>
      </c>
      <c r="J470" t="s">
        <v>1184</v>
      </c>
      <c r="K470" t="s">
        <v>1185</v>
      </c>
      <c r="M470" t="s">
        <v>1186</v>
      </c>
      <c r="N470" t="s">
        <v>762</v>
      </c>
    </row>
    <row r="471" spans="1:14" x14ac:dyDescent="0.2">
      <c r="A471">
        <v>10699</v>
      </c>
      <c r="B471" t="s">
        <v>1181</v>
      </c>
      <c r="C471">
        <v>3</v>
      </c>
      <c r="D471" s="19">
        <v>35712</v>
      </c>
      <c r="E471" s="19">
        <v>35740</v>
      </c>
      <c r="F471" s="19">
        <v>35716</v>
      </c>
      <c r="G471">
        <v>3</v>
      </c>
      <c r="H471">
        <v>0.57999999999999996</v>
      </c>
      <c r="I471" t="s">
        <v>1182</v>
      </c>
      <c r="J471" t="s">
        <v>1184</v>
      </c>
      <c r="K471" t="s">
        <v>1185</v>
      </c>
      <c r="M471" t="s">
        <v>1186</v>
      </c>
      <c r="N471" t="s">
        <v>762</v>
      </c>
    </row>
    <row r="472" spans="1:14" x14ac:dyDescent="0.2">
      <c r="A472">
        <v>10779</v>
      </c>
      <c r="B472" t="s">
        <v>1181</v>
      </c>
      <c r="C472">
        <v>3</v>
      </c>
      <c r="D472" s="19">
        <v>35780</v>
      </c>
      <c r="E472" s="19">
        <v>35808</v>
      </c>
      <c r="F472" s="19">
        <v>35809</v>
      </c>
      <c r="G472">
        <v>2</v>
      </c>
      <c r="H472">
        <v>58.13</v>
      </c>
      <c r="I472" t="s">
        <v>1182</v>
      </c>
      <c r="J472" t="s">
        <v>1184</v>
      </c>
      <c r="K472" t="s">
        <v>1185</v>
      </c>
      <c r="M472" t="s">
        <v>1186</v>
      </c>
      <c r="N472" t="s">
        <v>762</v>
      </c>
    </row>
    <row r="473" spans="1:14" x14ac:dyDescent="0.2">
      <c r="A473">
        <v>10945</v>
      </c>
      <c r="B473" t="s">
        <v>1181</v>
      </c>
      <c r="C473">
        <v>4</v>
      </c>
      <c r="D473" s="19">
        <v>35866</v>
      </c>
      <c r="E473" s="19">
        <v>35894</v>
      </c>
      <c r="F473" s="19">
        <v>35872</v>
      </c>
      <c r="G473">
        <v>1</v>
      </c>
      <c r="H473">
        <v>10.220000000000001</v>
      </c>
      <c r="I473" t="s">
        <v>1182</v>
      </c>
      <c r="J473" t="s">
        <v>1184</v>
      </c>
      <c r="K473" t="s">
        <v>1185</v>
      </c>
      <c r="M473" t="s">
        <v>1186</v>
      </c>
      <c r="N473" t="s">
        <v>762</v>
      </c>
    </row>
    <row r="474" spans="1:14" x14ac:dyDescent="0.2">
      <c r="A474">
        <v>10517</v>
      </c>
      <c r="B474" t="s">
        <v>1188</v>
      </c>
      <c r="C474">
        <v>3</v>
      </c>
      <c r="D474" s="19">
        <v>35544</v>
      </c>
      <c r="E474" s="19">
        <v>35572</v>
      </c>
      <c r="F474" s="19">
        <v>35549</v>
      </c>
      <c r="G474">
        <v>3</v>
      </c>
      <c r="H474">
        <v>32.07</v>
      </c>
      <c r="I474" t="s">
        <v>1189</v>
      </c>
      <c r="J474" t="s">
        <v>1191</v>
      </c>
      <c r="K474" t="s">
        <v>785</v>
      </c>
      <c r="M474" t="s">
        <v>1192</v>
      </c>
      <c r="N474" t="s">
        <v>787</v>
      </c>
    </row>
    <row r="475" spans="1:14" x14ac:dyDescent="0.2">
      <c r="A475">
        <v>10752</v>
      </c>
      <c r="B475" t="s">
        <v>1188</v>
      </c>
      <c r="C475">
        <v>2</v>
      </c>
      <c r="D475" s="19">
        <v>35758</v>
      </c>
      <c r="E475" s="19">
        <v>35786</v>
      </c>
      <c r="F475" s="19">
        <v>35762</v>
      </c>
      <c r="G475">
        <v>3</v>
      </c>
      <c r="H475">
        <v>1.39</v>
      </c>
      <c r="I475" t="s">
        <v>1189</v>
      </c>
      <c r="J475" t="s">
        <v>1191</v>
      </c>
      <c r="K475" t="s">
        <v>785</v>
      </c>
      <c r="M475" t="s">
        <v>1192</v>
      </c>
      <c r="N475" t="s">
        <v>787</v>
      </c>
    </row>
    <row r="476" spans="1:14" x14ac:dyDescent="0.2">
      <c r="A476">
        <v>11057</v>
      </c>
      <c r="B476" t="s">
        <v>1188</v>
      </c>
      <c r="C476">
        <v>3</v>
      </c>
      <c r="D476" s="19">
        <v>35914</v>
      </c>
      <c r="E476" s="19">
        <v>35942</v>
      </c>
      <c r="F476" s="19">
        <v>35916</v>
      </c>
      <c r="G476">
        <v>3</v>
      </c>
      <c r="H476">
        <v>4.13</v>
      </c>
      <c r="I476" t="s">
        <v>1189</v>
      </c>
      <c r="J476" t="s">
        <v>1191</v>
      </c>
      <c r="K476" t="s">
        <v>785</v>
      </c>
      <c r="M476" t="s">
        <v>1192</v>
      </c>
      <c r="N476" t="s">
        <v>787</v>
      </c>
    </row>
    <row r="477" spans="1:14" x14ac:dyDescent="0.2">
      <c r="A477">
        <v>10409</v>
      </c>
      <c r="B477" t="s">
        <v>1195</v>
      </c>
      <c r="C477">
        <v>3</v>
      </c>
      <c r="D477" s="19">
        <v>35439</v>
      </c>
      <c r="E477" s="19">
        <v>35467</v>
      </c>
      <c r="F477" s="19">
        <v>35444</v>
      </c>
      <c r="G477">
        <v>1</v>
      </c>
      <c r="H477">
        <v>29.83</v>
      </c>
      <c r="I477" t="s">
        <v>1196</v>
      </c>
      <c r="J477" t="s">
        <v>1198</v>
      </c>
      <c r="K477" t="s">
        <v>857</v>
      </c>
      <c r="M477" t="s">
        <v>858</v>
      </c>
      <c r="N477" t="s">
        <v>859</v>
      </c>
    </row>
    <row r="478" spans="1:14" x14ac:dyDescent="0.2">
      <c r="A478">
        <v>10531</v>
      </c>
      <c r="B478" t="s">
        <v>1195</v>
      </c>
      <c r="C478">
        <v>7</v>
      </c>
      <c r="D478" s="19">
        <v>35558</v>
      </c>
      <c r="E478" s="19">
        <v>35586</v>
      </c>
      <c r="F478" s="19">
        <v>35569</v>
      </c>
      <c r="G478">
        <v>1</v>
      </c>
      <c r="H478">
        <v>8.1199999999999992</v>
      </c>
      <c r="I478" t="s">
        <v>1196</v>
      </c>
      <c r="J478" t="s">
        <v>1198</v>
      </c>
      <c r="K478" t="s">
        <v>857</v>
      </c>
      <c r="M478" t="s">
        <v>858</v>
      </c>
      <c r="N478" t="s">
        <v>859</v>
      </c>
    </row>
    <row r="479" spans="1:14" x14ac:dyDescent="0.2">
      <c r="A479">
        <v>10898</v>
      </c>
      <c r="B479" t="s">
        <v>1195</v>
      </c>
      <c r="C479">
        <v>4</v>
      </c>
      <c r="D479" s="19">
        <v>35846</v>
      </c>
      <c r="E479" s="19">
        <v>35874</v>
      </c>
      <c r="F479" s="19">
        <v>35860</v>
      </c>
      <c r="G479">
        <v>2</v>
      </c>
      <c r="H479">
        <v>1.27</v>
      </c>
      <c r="I479" t="s">
        <v>1196</v>
      </c>
      <c r="J479" t="s">
        <v>1198</v>
      </c>
      <c r="K479" t="s">
        <v>857</v>
      </c>
      <c r="M479" t="s">
        <v>858</v>
      </c>
      <c r="N479" t="s">
        <v>859</v>
      </c>
    </row>
    <row r="480" spans="1:14" x14ac:dyDescent="0.2">
      <c r="A480">
        <v>10958</v>
      </c>
      <c r="B480" t="s">
        <v>1195</v>
      </c>
      <c r="C480">
        <v>7</v>
      </c>
      <c r="D480" s="19">
        <v>35872</v>
      </c>
      <c r="E480" s="19">
        <v>35900</v>
      </c>
      <c r="F480" s="19">
        <v>35881</v>
      </c>
      <c r="G480">
        <v>2</v>
      </c>
      <c r="H480">
        <v>49.56</v>
      </c>
      <c r="I480" t="s">
        <v>1196</v>
      </c>
      <c r="J480" t="s">
        <v>1198</v>
      </c>
      <c r="K480" t="s">
        <v>857</v>
      </c>
      <c r="M480" t="s">
        <v>858</v>
      </c>
      <c r="N480" t="s">
        <v>859</v>
      </c>
    </row>
    <row r="481" spans="1:14" x14ac:dyDescent="0.2">
      <c r="A481">
        <v>10986</v>
      </c>
      <c r="B481" t="s">
        <v>1195</v>
      </c>
      <c r="C481">
        <v>8</v>
      </c>
      <c r="D481" s="19">
        <v>35884</v>
      </c>
      <c r="E481" s="19">
        <v>35912</v>
      </c>
      <c r="F481" s="19">
        <v>35906</v>
      </c>
      <c r="G481">
        <v>2</v>
      </c>
      <c r="H481">
        <v>217.86</v>
      </c>
      <c r="I481" t="s">
        <v>1196</v>
      </c>
      <c r="J481" t="s">
        <v>1198</v>
      </c>
      <c r="K481" t="s">
        <v>857</v>
      </c>
      <c r="M481" t="s">
        <v>858</v>
      </c>
      <c r="N481" t="s">
        <v>859</v>
      </c>
    </row>
    <row r="482" spans="1:14" x14ac:dyDescent="0.2">
      <c r="A482">
        <v>10260</v>
      </c>
      <c r="B482" t="s">
        <v>1201</v>
      </c>
      <c r="C482">
        <v>4</v>
      </c>
      <c r="D482" s="19">
        <v>35265</v>
      </c>
      <c r="E482" s="19">
        <v>35293</v>
      </c>
      <c r="F482" s="19">
        <v>35275</v>
      </c>
      <c r="G482">
        <v>1</v>
      </c>
      <c r="H482">
        <v>55.09</v>
      </c>
      <c r="I482" t="s">
        <v>1211</v>
      </c>
      <c r="J482" t="s">
        <v>1213</v>
      </c>
      <c r="K482" t="s">
        <v>1214</v>
      </c>
      <c r="M482" t="s">
        <v>1215</v>
      </c>
      <c r="N482" t="s">
        <v>762</v>
      </c>
    </row>
    <row r="483" spans="1:14" x14ac:dyDescent="0.2">
      <c r="A483">
        <v>10305</v>
      </c>
      <c r="B483" t="s">
        <v>1201</v>
      </c>
      <c r="C483">
        <v>8</v>
      </c>
      <c r="D483" s="19">
        <v>35321</v>
      </c>
      <c r="E483" s="19">
        <v>35349</v>
      </c>
      <c r="F483" s="19">
        <v>35347</v>
      </c>
      <c r="G483">
        <v>3</v>
      </c>
      <c r="H483">
        <v>257.62</v>
      </c>
      <c r="I483" t="s">
        <v>1202</v>
      </c>
      <c r="J483" t="s">
        <v>1204</v>
      </c>
      <c r="K483" t="s">
        <v>1205</v>
      </c>
      <c r="L483" t="s">
        <v>1206</v>
      </c>
      <c r="M483" t="s">
        <v>1207</v>
      </c>
      <c r="N483" t="s">
        <v>1018</v>
      </c>
    </row>
    <row r="484" spans="1:14" x14ac:dyDescent="0.2">
      <c r="A484">
        <v>10338</v>
      </c>
      <c r="B484" t="s">
        <v>1201</v>
      </c>
      <c r="C484">
        <v>4</v>
      </c>
      <c r="D484" s="19">
        <v>35363</v>
      </c>
      <c r="E484" s="19">
        <v>35391</v>
      </c>
      <c r="F484" s="19">
        <v>35367</v>
      </c>
      <c r="G484">
        <v>3</v>
      </c>
      <c r="H484">
        <v>84.21</v>
      </c>
      <c r="I484" t="s">
        <v>1202</v>
      </c>
      <c r="J484" t="s">
        <v>1204</v>
      </c>
      <c r="K484" t="s">
        <v>1205</v>
      </c>
      <c r="L484" t="s">
        <v>1206</v>
      </c>
      <c r="M484" t="s">
        <v>1207</v>
      </c>
      <c r="N484" t="s">
        <v>1018</v>
      </c>
    </row>
    <row r="485" spans="1:14" x14ac:dyDescent="0.2">
      <c r="A485">
        <v>10441</v>
      </c>
      <c r="B485" t="s">
        <v>1201</v>
      </c>
      <c r="C485">
        <v>3</v>
      </c>
      <c r="D485" s="19">
        <v>35471</v>
      </c>
      <c r="E485" s="19">
        <v>35513</v>
      </c>
      <c r="F485" s="19">
        <v>35503</v>
      </c>
      <c r="G485">
        <v>2</v>
      </c>
      <c r="H485">
        <v>73.02</v>
      </c>
      <c r="I485" t="s">
        <v>1202</v>
      </c>
      <c r="J485" t="s">
        <v>1204</v>
      </c>
      <c r="K485" t="s">
        <v>1205</v>
      </c>
      <c r="L485" t="s">
        <v>1206</v>
      </c>
      <c r="M485" t="s">
        <v>1207</v>
      </c>
      <c r="N485" t="s">
        <v>1018</v>
      </c>
    </row>
    <row r="486" spans="1:14" x14ac:dyDescent="0.2">
      <c r="A486">
        <v>10594</v>
      </c>
      <c r="B486" t="s">
        <v>1201</v>
      </c>
      <c r="C486">
        <v>3</v>
      </c>
      <c r="D486" s="19">
        <v>35620</v>
      </c>
      <c r="E486" s="19">
        <v>35648</v>
      </c>
      <c r="F486" s="19">
        <v>35627</v>
      </c>
      <c r="G486">
        <v>2</v>
      </c>
      <c r="H486">
        <v>5.24</v>
      </c>
      <c r="I486" t="s">
        <v>1202</v>
      </c>
      <c r="J486" t="s">
        <v>1204</v>
      </c>
      <c r="K486" t="s">
        <v>1205</v>
      </c>
      <c r="L486" t="s">
        <v>1206</v>
      </c>
      <c r="M486" t="s">
        <v>1207</v>
      </c>
      <c r="N486" t="s">
        <v>1018</v>
      </c>
    </row>
    <row r="487" spans="1:14" x14ac:dyDescent="0.2">
      <c r="A487">
        <v>10680</v>
      </c>
      <c r="B487" t="s">
        <v>1201</v>
      </c>
      <c r="C487">
        <v>1</v>
      </c>
      <c r="D487" s="19">
        <v>35697</v>
      </c>
      <c r="E487" s="19">
        <v>35725</v>
      </c>
      <c r="F487" s="19">
        <v>35699</v>
      </c>
      <c r="G487">
        <v>1</v>
      </c>
      <c r="H487">
        <v>26.61</v>
      </c>
      <c r="I487" t="s">
        <v>1202</v>
      </c>
      <c r="J487" t="s">
        <v>1204</v>
      </c>
      <c r="K487" t="s">
        <v>1205</v>
      </c>
      <c r="L487" t="s">
        <v>1206</v>
      </c>
      <c r="M487" t="s">
        <v>1207</v>
      </c>
      <c r="N487" t="s">
        <v>1018</v>
      </c>
    </row>
    <row r="488" spans="1:14" x14ac:dyDescent="0.2">
      <c r="A488">
        <v>10706</v>
      </c>
      <c r="B488" t="s">
        <v>1201</v>
      </c>
      <c r="C488">
        <v>8</v>
      </c>
      <c r="D488" s="19">
        <v>35719</v>
      </c>
      <c r="E488" s="19">
        <v>35747</v>
      </c>
      <c r="F488" s="19">
        <v>35724</v>
      </c>
      <c r="G488">
        <v>3</v>
      </c>
      <c r="H488">
        <v>135.63</v>
      </c>
      <c r="I488" t="s">
        <v>1202</v>
      </c>
      <c r="J488" t="s">
        <v>1204</v>
      </c>
      <c r="K488" t="s">
        <v>1205</v>
      </c>
      <c r="L488" t="s">
        <v>1206</v>
      </c>
      <c r="M488" t="s">
        <v>1207</v>
      </c>
      <c r="N488" t="s">
        <v>1018</v>
      </c>
    </row>
    <row r="489" spans="1:14" x14ac:dyDescent="0.2">
      <c r="A489">
        <v>10855</v>
      </c>
      <c r="B489" t="s">
        <v>1201</v>
      </c>
      <c r="C489">
        <v>3</v>
      </c>
      <c r="D489" s="19">
        <v>35822</v>
      </c>
      <c r="E489" s="19">
        <v>35850</v>
      </c>
      <c r="F489" s="19">
        <v>35830</v>
      </c>
      <c r="G489">
        <v>1</v>
      </c>
      <c r="H489">
        <v>170.97</v>
      </c>
      <c r="I489" t="s">
        <v>1202</v>
      </c>
      <c r="J489" t="s">
        <v>1204</v>
      </c>
      <c r="K489" t="s">
        <v>1205</v>
      </c>
      <c r="L489" t="s">
        <v>1206</v>
      </c>
      <c r="M489" t="s">
        <v>1207</v>
      </c>
      <c r="N489" t="s">
        <v>1018</v>
      </c>
    </row>
    <row r="490" spans="1:14" x14ac:dyDescent="0.2">
      <c r="A490">
        <v>10965</v>
      </c>
      <c r="B490" t="s">
        <v>1201</v>
      </c>
      <c r="C490">
        <v>6</v>
      </c>
      <c r="D490" s="19">
        <v>35874</v>
      </c>
      <c r="E490" s="19">
        <v>35902</v>
      </c>
      <c r="F490" s="19">
        <v>35884</v>
      </c>
      <c r="G490">
        <v>3</v>
      </c>
      <c r="H490">
        <v>144.38</v>
      </c>
      <c r="I490" t="s">
        <v>1202</v>
      </c>
      <c r="J490" t="s">
        <v>1204</v>
      </c>
      <c r="K490" t="s">
        <v>1205</v>
      </c>
      <c r="L490" t="s">
        <v>1206</v>
      </c>
      <c r="M490" t="s">
        <v>1207</v>
      </c>
      <c r="N490" t="s">
        <v>1018</v>
      </c>
    </row>
    <row r="491" spans="1:14" x14ac:dyDescent="0.2">
      <c r="A491">
        <v>11034</v>
      </c>
      <c r="B491" t="s">
        <v>1201</v>
      </c>
      <c r="C491">
        <v>8</v>
      </c>
      <c r="D491" s="19">
        <v>35905</v>
      </c>
      <c r="E491" s="19">
        <v>35947</v>
      </c>
      <c r="F491" s="19">
        <v>35912</v>
      </c>
      <c r="G491">
        <v>1</v>
      </c>
      <c r="H491">
        <v>40.32</v>
      </c>
      <c r="I491" t="s">
        <v>1202</v>
      </c>
      <c r="J491" t="s">
        <v>1204</v>
      </c>
      <c r="K491" t="s">
        <v>1205</v>
      </c>
      <c r="L491" t="s">
        <v>1206</v>
      </c>
      <c r="M491" t="s">
        <v>1207</v>
      </c>
      <c r="N491" t="s">
        <v>1018</v>
      </c>
    </row>
    <row r="492" spans="1:14" x14ac:dyDescent="0.2">
      <c r="A492">
        <v>10407</v>
      </c>
      <c r="B492" t="s">
        <v>1210</v>
      </c>
      <c r="C492">
        <v>2</v>
      </c>
      <c r="D492" s="19">
        <v>35437</v>
      </c>
      <c r="E492" s="19">
        <v>35465</v>
      </c>
      <c r="F492" s="19">
        <v>35460</v>
      </c>
      <c r="G492">
        <v>2</v>
      </c>
      <c r="H492">
        <v>91.48</v>
      </c>
      <c r="I492" t="s">
        <v>1211</v>
      </c>
      <c r="J492" t="s">
        <v>1213</v>
      </c>
      <c r="K492" t="s">
        <v>1214</v>
      </c>
      <c r="M492" t="s">
        <v>1215</v>
      </c>
      <c r="N492" t="s">
        <v>762</v>
      </c>
    </row>
    <row r="493" spans="1:14" x14ac:dyDescent="0.2">
      <c r="A493">
        <v>10508</v>
      </c>
      <c r="B493" t="s">
        <v>1210</v>
      </c>
      <c r="C493">
        <v>1</v>
      </c>
      <c r="D493" s="19">
        <v>35536</v>
      </c>
      <c r="E493" s="19">
        <v>35564</v>
      </c>
      <c r="F493" s="19">
        <v>35563</v>
      </c>
      <c r="G493">
        <v>2</v>
      </c>
      <c r="H493">
        <v>4.99</v>
      </c>
      <c r="I493" t="s">
        <v>1211</v>
      </c>
      <c r="J493" t="s">
        <v>1213</v>
      </c>
      <c r="K493" t="s">
        <v>1214</v>
      </c>
      <c r="M493" t="s">
        <v>1215</v>
      </c>
      <c r="N493" t="s">
        <v>762</v>
      </c>
    </row>
    <row r="494" spans="1:14" x14ac:dyDescent="0.2">
      <c r="A494">
        <v>10554</v>
      </c>
      <c r="B494" t="s">
        <v>1210</v>
      </c>
      <c r="C494">
        <v>4</v>
      </c>
      <c r="D494" s="19">
        <v>35580</v>
      </c>
      <c r="E494" s="19">
        <v>35608</v>
      </c>
      <c r="F494" s="19">
        <v>35586</v>
      </c>
      <c r="G494">
        <v>3</v>
      </c>
      <c r="H494">
        <v>120.97</v>
      </c>
      <c r="I494" t="s">
        <v>1211</v>
      </c>
      <c r="J494" t="s">
        <v>1213</v>
      </c>
      <c r="K494" t="s">
        <v>1214</v>
      </c>
      <c r="M494" t="s">
        <v>1215</v>
      </c>
      <c r="N494" t="s">
        <v>762</v>
      </c>
    </row>
    <row r="495" spans="1:14" x14ac:dyDescent="0.2">
      <c r="A495">
        <v>10580</v>
      </c>
      <c r="B495" t="s">
        <v>1210</v>
      </c>
      <c r="C495">
        <v>4</v>
      </c>
      <c r="D495" s="19">
        <v>35607</v>
      </c>
      <c r="E495" s="19">
        <v>35635</v>
      </c>
      <c r="F495" s="19">
        <v>35612</v>
      </c>
      <c r="G495">
        <v>3</v>
      </c>
      <c r="H495">
        <v>75.89</v>
      </c>
      <c r="I495" t="s">
        <v>1211</v>
      </c>
      <c r="J495" t="s">
        <v>1213</v>
      </c>
      <c r="K495" t="s">
        <v>1214</v>
      </c>
      <c r="M495" t="s">
        <v>1215</v>
      </c>
      <c r="N495" t="s">
        <v>762</v>
      </c>
    </row>
    <row r="496" spans="1:14" x14ac:dyDescent="0.2">
      <c r="A496">
        <v>10684</v>
      </c>
      <c r="B496" t="s">
        <v>1210</v>
      </c>
      <c r="C496">
        <v>3</v>
      </c>
      <c r="D496" s="19">
        <v>35699</v>
      </c>
      <c r="E496" s="19">
        <v>35727</v>
      </c>
      <c r="F496" s="19">
        <v>35703</v>
      </c>
      <c r="G496">
        <v>1</v>
      </c>
      <c r="H496">
        <v>145.63</v>
      </c>
      <c r="I496" t="s">
        <v>1211</v>
      </c>
      <c r="J496" t="s">
        <v>1213</v>
      </c>
      <c r="K496" t="s">
        <v>1214</v>
      </c>
      <c r="M496" t="s">
        <v>1215</v>
      </c>
      <c r="N496" t="s">
        <v>762</v>
      </c>
    </row>
    <row r="497" spans="1:14" x14ac:dyDescent="0.2">
      <c r="A497">
        <v>10766</v>
      </c>
      <c r="B497" t="s">
        <v>1210</v>
      </c>
      <c r="C497">
        <v>4</v>
      </c>
      <c r="D497" s="19">
        <v>35769</v>
      </c>
      <c r="E497" s="19">
        <v>35797</v>
      </c>
      <c r="F497" s="19">
        <v>35773</v>
      </c>
      <c r="G497">
        <v>1</v>
      </c>
      <c r="H497">
        <v>157.55000000000001</v>
      </c>
      <c r="I497" t="s">
        <v>1211</v>
      </c>
      <c r="J497" t="s">
        <v>1213</v>
      </c>
      <c r="K497" t="s">
        <v>1214</v>
      </c>
      <c r="M497" t="s">
        <v>1215</v>
      </c>
      <c r="N497" t="s">
        <v>762</v>
      </c>
    </row>
    <row r="498" spans="1:14" x14ac:dyDescent="0.2">
      <c r="A498">
        <v>10833</v>
      </c>
      <c r="B498" t="s">
        <v>1210</v>
      </c>
      <c r="C498">
        <v>6</v>
      </c>
      <c r="D498" s="19">
        <v>35810</v>
      </c>
      <c r="E498" s="19">
        <v>35838</v>
      </c>
      <c r="F498" s="19">
        <v>35818</v>
      </c>
      <c r="G498">
        <v>2</v>
      </c>
      <c r="H498">
        <v>71.489999999999995</v>
      </c>
      <c r="I498" t="s">
        <v>1211</v>
      </c>
      <c r="J498" t="s">
        <v>1213</v>
      </c>
      <c r="K498" t="s">
        <v>1214</v>
      </c>
      <c r="M498" t="s">
        <v>1215</v>
      </c>
      <c r="N498" t="s">
        <v>762</v>
      </c>
    </row>
    <row r="499" spans="1:14" x14ac:dyDescent="0.2">
      <c r="A499">
        <v>10999</v>
      </c>
      <c r="B499" t="s">
        <v>1210</v>
      </c>
      <c r="C499">
        <v>6</v>
      </c>
      <c r="D499" s="19">
        <v>35888</v>
      </c>
      <c r="E499" s="19">
        <v>35916</v>
      </c>
      <c r="F499" s="19">
        <v>35895</v>
      </c>
      <c r="G499">
        <v>2</v>
      </c>
      <c r="H499">
        <v>96.35</v>
      </c>
      <c r="I499" t="s">
        <v>1211</v>
      </c>
      <c r="J499" t="s">
        <v>1213</v>
      </c>
      <c r="K499" t="s">
        <v>1214</v>
      </c>
      <c r="M499" t="s">
        <v>1215</v>
      </c>
      <c r="N499" t="s">
        <v>762</v>
      </c>
    </row>
    <row r="500" spans="1:14" x14ac:dyDescent="0.2">
      <c r="A500">
        <v>11020</v>
      </c>
      <c r="B500" t="s">
        <v>1210</v>
      </c>
      <c r="C500">
        <v>2</v>
      </c>
      <c r="D500" s="19">
        <v>35899</v>
      </c>
      <c r="E500" s="19">
        <v>35927</v>
      </c>
      <c r="F500" s="19">
        <v>35901</v>
      </c>
      <c r="G500">
        <v>2</v>
      </c>
      <c r="H500">
        <v>43.3</v>
      </c>
      <c r="I500" t="s">
        <v>1211</v>
      </c>
      <c r="J500" t="s">
        <v>1213</v>
      </c>
      <c r="K500" t="s">
        <v>1214</v>
      </c>
      <c r="M500" t="s">
        <v>1215</v>
      </c>
      <c r="N500" t="s">
        <v>762</v>
      </c>
    </row>
    <row r="501" spans="1:14" x14ac:dyDescent="0.2">
      <c r="A501">
        <v>10322</v>
      </c>
      <c r="B501" t="s">
        <v>1226</v>
      </c>
      <c r="C501">
        <v>7</v>
      </c>
      <c r="D501" s="19">
        <v>35342</v>
      </c>
      <c r="E501" s="19">
        <v>35370</v>
      </c>
      <c r="F501" s="19">
        <v>35361</v>
      </c>
      <c r="G501">
        <v>3</v>
      </c>
      <c r="H501">
        <v>0.4</v>
      </c>
      <c r="I501" t="s">
        <v>1227</v>
      </c>
      <c r="J501" t="s">
        <v>1229</v>
      </c>
      <c r="K501" t="s">
        <v>770</v>
      </c>
      <c r="M501" t="s">
        <v>1230</v>
      </c>
      <c r="N501" t="s">
        <v>772</v>
      </c>
    </row>
    <row r="502" spans="1:14" x14ac:dyDescent="0.2">
      <c r="A502">
        <v>10354</v>
      </c>
      <c r="B502" t="s">
        <v>1226</v>
      </c>
      <c r="C502">
        <v>8</v>
      </c>
      <c r="D502" s="19">
        <v>35383</v>
      </c>
      <c r="E502" s="19">
        <v>35411</v>
      </c>
      <c r="F502" s="19">
        <v>35389</v>
      </c>
      <c r="G502">
        <v>3</v>
      </c>
      <c r="H502">
        <v>53.8</v>
      </c>
      <c r="I502" t="s">
        <v>1227</v>
      </c>
      <c r="J502" t="s">
        <v>1229</v>
      </c>
      <c r="K502" t="s">
        <v>770</v>
      </c>
      <c r="M502" t="s">
        <v>1230</v>
      </c>
      <c r="N502" t="s">
        <v>772</v>
      </c>
    </row>
    <row r="503" spans="1:14" x14ac:dyDescent="0.2">
      <c r="A503">
        <v>10474</v>
      </c>
      <c r="B503" t="s">
        <v>1226</v>
      </c>
      <c r="C503">
        <v>5</v>
      </c>
      <c r="D503" s="19">
        <v>35502</v>
      </c>
      <c r="E503" s="19">
        <v>35530</v>
      </c>
      <c r="F503" s="19">
        <v>35510</v>
      </c>
      <c r="G503">
        <v>2</v>
      </c>
      <c r="H503">
        <v>83.49</v>
      </c>
      <c r="I503" t="s">
        <v>1227</v>
      </c>
      <c r="J503" t="s">
        <v>1229</v>
      </c>
      <c r="K503" t="s">
        <v>770</v>
      </c>
      <c r="M503" t="s">
        <v>1230</v>
      </c>
      <c r="N503" t="s">
        <v>772</v>
      </c>
    </row>
    <row r="504" spans="1:14" x14ac:dyDescent="0.2">
      <c r="A504">
        <v>10502</v>
      </c>
      <c r="B504" t="s">
        <v>1226</v>
      </c>
      <c r="C504">
        <v>2</v>
      </c>
      <c r="D504" s="19">
        <v>35530</v>
      </c>
      <c r="E504" s="19">
        <v>35558</v>
      </c>
      <c r="F504" s="19">
        <v>35549</v>
      </c>
      <c r="G504">
        <v>1</v>
      </c>
      <c r="H504">
        <v>69.319999999999993</v>
      </c>
      <c r="I504" t="s">
        <v>1227</v>
      </c>
      <c r="J504" t="s">
        <v>1229</v>
      </c>
      <c r="K504" t="s">
        <v>770</v>
      </c>
      <c r="M504" t="s">
        <v>1230</v>
      </c>
      <c r="N504" t="s">
        <v>772</v>
      </c>
    </row>
    <row r="505" spans="1:14" x14ac:dyDescent="0.2">
      <c r="A505">
        <v>10995</v>
      </c>
      <c r="B505" t="s">
        <v>1226</v>
      </c>
      <c r="C505">
        <v>1</v>
      </c>
      <c r="D505" s="19">
        <v>35887</v>
      </c>
      <c r="E505" s="19">
        <v>35915</v>
      </c>
      <c r="F505" s="19">
        <v>35891</v>
      </c>
      <c r="G505">
        <v>3</v>
      </c>
      <c r="H505">
        <v>46</v>
      </c>
      <c r="I505" t="s">
        <v>1227</v>
      </c>
      <c r="J505" t="s">
        <v>1229</v>
      </c>
      <c r="K505" t="s">
        <v>770</v>
      </c>
      <c r="M505" t="s">
        <v>1230</v>
      </c>
      <c r="N505" t="s">
        <v>772</v>
      </c>
    </row>
    <row r="506" spans="1:14" x14ac:dyDescent="0.2">
      <c r="A506">
        <v>11073</v>
      </c>
      <c r="B506" t="s">
        <v>1226</v>
      </c>
      <c r="C506">
        <v>2</v>
      </c>
      <c r="D506" s="19">
        <v>35920</v>
      </c>
      <c r="E506" s="19">
        <v>35948</v>
      </c>
      <c r="F506" s="19"/>
      <c r="G506">
        <v>2</v>
      </c>
      <c r="H506">
        <v>24.95</v>
      </c>
      <c r="I506" t="s">
        <v>1227</v>
      </c>
      <c r="J506" t="s">
        <v>1229</v>
      </c>
      <c r="K506" t="s">
        <v>770</v>
      </c>
      <c r="M506" t="s">
        <v>1230</v>
      </c>
      <c r="N506" t="s">
        <v>772</v>
      </c>
    </row>
    <row r="507" spans="1:14" x14ac:dyDescent="0.2">
      <c r="A507">
        <v>10353</v>
      </c>
      <c r="B507" t="s">
        <v>1233</v>
      </c>
      <c r="C507">
        <v>7</v>
      </c>
      <c r="D507" s="19">
        <v>35382</v>
      </c>
      <c r="E507" s="19">
        <v>35410</v>
      </c>
      <c r="F507" s="19">
        <v>35394</v>
      </c>
      <c r="G507">
        <v>3</v>
      </c>
      <c r="H507">
        <v>360.63</v>
      </c>
      <c r="I507" t="s">
        <v>1234</v>
      </c>
      <c r="J507" t="s">
        <v>1236</v>
      </c>
      <c r="K507" t="s">
        <v>1237</v>
      </c>
      <c r="M507" t="s">
        <v>1238</v>
      </c>
      <c r="N507" t="s">
        <v>924</v>
      </c>
    </row>
    <row r="508" spans="1:14" x14ac:dyDescent="0.2">
      <c r="A508">
        <v>10392</v>
      </c>
      <c r="B508" t="s">
        <v>1233</v>
      </c>
      <c r="C508">
        <v>2</v>
      </c>
      <c r="D508" s="19">
        <v>35423</v>
      </c>
      <c r="E508" s="19">
        <v>35451</v>
      </c>
      <c r="F508" s="19">
        <v>35431</v>
      </c>
      <c r="G508">
        <v>3</v>
      </c>
      <c r="H508">
        <v>122.46</v>
      </c>
      <c r="I508" t="s">
        <v>1234</v>
      </c>
      <c r="J508" t="s">
        <v>1236</v>
      </c>
      <c r="K508" t="s">
        <v>1237</v>
      </c>
      <c r="M508" t="s">
        <v>1238</v>
      </c>
      <c r="N508" t="s">
        <v>924</v>
      </c>
    </row>
    <row r="509" spans="1:14" x14ac:dyDescent="0.2">
      <c r="A509">
        <v>10427</v>
      </c>
      <c r="B509" t="s">
        <v>1233</v>
      </c>
      <c r="C509">
        <v>4</v>
      </c>
      <c r="D509" s="19">
        <v>35457</v>
      </c>
      <c r="E509" s="19">
        <v>35485</v>
      </c>
      <c r="F509" s="19">
        <v>35492</v>
      </c>
      <c r="G509">
        <v>2</v>
      </c>
      <c r="H509">
        <v>31.29</v>
      </c>
      <c r="I509" t="s">
        <v>1234</v>
      </c>
      <c r="J509" t="s">
        <v>1236</v>
      </c>
      <c r="K509" t="s">
        <v>1237</v>
      </c>
      <c r="M509" t="s">
        <v>1238</v>
      </c>
      <c r="N509" t="s">
        <v>924</v>
      </c>
    </row>
    <row r="510" spans="1:14" x14ac:dyDescent="0.2">
      <c r="A510">
        <v>10489</v>
      </c>
      <c r="B510" t="s">
        <v>1233</v>
      </c>
      <c r="C510">
        <v>6</v>
      </c>
      <c r="D510" s="19">
        <v>35517</v>
      </c>
      <c r="E510" s="19">
        <v>35545</v>
      </c>
      <c r="F510" s="19">
        <v>35529</v>
      </c>
      <c r="G510">
        <v>2</v>
      </c>
      <c r="H510">
        <v>5.29</v>
      </c>
      <c r="I510" t="s">
        <v>1234</v>
      </c>
      <c r="J510" t="s">
        <v>1236</v>
      </c>
      <c r="K510" t="s">
        <v>1237</v>
      </c>
      <c r="M510" t="s">
        <v>1238</v>
      </c>
      <c r="N510" t="s">
        <v>924</v>
      </c>
    </row>
    <row r="511" spans="1:14" x14ac:dyDescent="0.2">
      <c r="A511">
        <v>10530</v>
      </c>
      <c r="B511" t="s">
        <v>1233</v>
      </c>
      <c r="C511">
        <v>3</v>
      </c>
      <c r="D511" s="19">
        <v>35558</v>
      </c>
      <c r="E511" s="19">
        <v>35586</v>
      </c>
      <c r="F511" s="19">
        <v>35562</v>
      </c>
      <c r="G511">
        <v>2</v>
      </c>
      <c r="H511">
        <v>339.22</v>
      </c>
      <c r="I511" t="s">
        <v>1234</v>
      </c>
      <c r="J511" t="s">
        <v>1236</v>
      </c>
      <c r="K511" t="s">
        <v>1237</v>
      </c>
      <c r="M511" t="s">
        <v>1238</v>
      </c>
      <c r="N511" t="s">
        <v>924</v>
      </c>
    </row>
    <row r="512" spans="1:14" x14ac:dyDescent="0.2">
      <c r="A512">
        <v>10597</v>
      </c>
      <c r="B512" t="s">
        <v>1233</v>
      </c>
      <c r="C512">
        <v>7</v>
      </c>
      <c r="D512" s="19">
        <v>35622</v>
      </c>
      <c r="E512" s="19">
        <v>35650</v>
      </c>
      <c r="F512" s="19">
        <v>35629</v>
      </c>
      <c r="G512">
        <v>3</v>
      </c>
      <c r="H512">
        <v>35.119999999999997</v>
      </c>
      <c r="I512" t="s">
        <v>1234</v>
      </c>
      <c r="J512" t="s">
        <v>1236</v>
      </c>
      <c r="K512" t="s">
        <v>1237</v>
      </c>
      <c r="M512" t="s">
        <v>1238</v>
      </c>
      <c r="N512" t="s">
        <v>924</v>
      </c>
    </row>
    <row r="513" spans="1:14" x14ac:dyDescent="0.2">
      <c r="A513">
        <v>10686</v>
      </c>
      <c r="B513" t="s">
        <v>1233</v>
      </c>
      <c r="C513">
        <v>2</v>
      </c>
      <c r="D513" s="19">
        <v>35703</v>
      </c>
      <c r="E513" s="19">
        <v>35731</v>
      </c>
      <c r="F513" s="19">
        <v>35711</v>
      </c>
      <c r="G513">
        <v>1</v>
      </c>
      <c r="H513">
        <v>96.5</v>
      </c>
      <c r="I513" t="s">
        <v>1234</v>
      </c>
      <c r="J513" t="s">
        <v>1236</v>
      </c>
      <c r="K513" t="s">
        <v>1237</v>
      </c>
      <c r="M513" t="s">
        <v>1238</v>
      </c>
      <c r="N513" t="s">
        <v>924</v>
      </c>
    </row>
    <row r="514" spans="1:14" x14ac:dyDescent="0.2">
      <c r="A514">
        <v>10747</v>
      </c>
      <c r="B514" t="s">
        <v>1233</v>
      </c>
      <c r="C514">
        <v>6</v>
      </c>
      <c r="D514" s="19">
        <v>35753</v>
      </c>
      <c r="E514" s="19">
        <v>35781</v>
      </c>
      <c r="F514" s="19">
        <v>35760</v>
      </c>
      <c r="G514">
        <v>1</v>
      </c>
      <c r="H514">
        <v>117.33</v>
      </c>
      <c r="I514" t="s">
        <v>1234</v>
      </c>
      <c r="J514" t="s">
        <v>1236</v>
      </c>
      <c r="K514" t="s">
        <v>1237</v>
      </c>
      <c r="M514" t="s">
        <v>1238</v>
      </c>
      <c r="N514" t="s">
        <v>924</v>
      </c>
    </row>
    <row r="515" spans="1:14" x14ac:dyDescent="0.2">
      <c r="A515">
        <v>10844</v>
      </c>
      <c r="B515" t="s">
        <v>1233</v>
      </c>
      <c r="C515">
        <v>8</v>
      </c>
      <c r="D515" s="19">
        <v>35816</v>
      </c>
      <c r="E515" s="19">
        <v>35844</v>
      </c>
      <c r="F515" s="19">
        <v>35821</v>
      </c>
      <c r="G515">
        <v>2</v>
      </c>
      <c r="H515">
        <v>25.22</v>
      </c>
      <c r="I515" t="s">
        <v>1234</v>
      </c>
      <c r="J515" t="s">
        <v>1236</v>
      </c>
      <c r="K515" t="s">
        <v>1237</v>
      </c>
      <c r="M515" t="s">
        <v>1238</v>
      </c>
      <c r="N515" t="s">
        <v>924</v>
      </c>
    </row>
    <row r="516" spans="1:14" x14ac:dyDescent="0.2">
      <c r="A516">
        <v>11053</v>
      </c>
      <c r="B516" t="s">
        <v>1233</v>
      </c>
      <c r="C516">
        <v>2</v>
      </c>
      <c r="D516" s="19">
        <v>35912</v>
      </c>
      <c r="E516" s="19">
        <v>35940</v>
      </c>
      <c r="F516" s="19">
        <v>35914</v>
      </c>
      <c r="G516">
        <v>2</v>
      </c>
      <c r="H516">
        <v>53.05</v>
      </c>
      <c r="I516" t="s">
        <v>1234</v>
      </c>
      <c r="J516" t="s">
        <v>1236</v>
      </c>
      <c r="K516" t="s">
        <v>1237</v>
      </c>
      <c r="M516" t="s">
        <v>1238</v>
      </c>
      <c r="N516" t="s">
        <v>924</v>
      </c>
    </row>
    <row r="517" spans="1:14" x14ac:dyDescent="0.2">
      <c r="A517">
        <v>10336</v>
      </c>
      <c r="B517" t="s">
        <v>1241</v>
      </c>
      <c r="C517">
        <v>7</v>
      </c>
      <c r="D517" s="19">
        <v>35361</v>
      </c>
      <c r="E517" s="19">
        <v>35389</v>
      </c>
      <c r="F517" s="19">
        <v>35363</v>
      </c>
      <c r="G517">
        <v>2</v>
      </c>
      <c r="H517">
        <v>15.51</v>
      </c>
      <c r="I517" t="s">
        <v>1242</v>
      </c>
      <c r="J517" t="s">
        <v>1244</v>
      </c>
      <c r="K517" t="s">
        <v>984</v>
      </c>
      <c r="M517" t="s">
        <v>1245</v>
      </c>
      <c r="N517" t="s">
        <v>986</v>
      </c>
    </row>
    <row r="518" spans="1:14" x14ac:dyDescent="0.2">
      <c r="A518">
        <v>10397</v>
      </c>
      <c r="B518" t="s">
        <v>1241</v>
      </c>
      <c r="C518">
        <v>5</v>
      </c>
      <c r="D518" s="19">
        <v>35426</v>
      </c>
      <c r="E518" s="19">
        <v>35454</v>
      </c>
      <c r="F518" s="19">
        <v>35432</v>
      </c>
      <c r="G518">
        <v>1</v>
      </c>
      <c r="H518">
        <v>60.26</v>
      </c>
      <c r="I518" t="s">
        <v>1242</v>
      </c>
      <c r="J518" t="s">
        <v>1244</v>
      </c>
      <c r="K518" t="s">
        <v>984</v>
      </c>
      <c r="M518" t="s">
        <v>1245</v>
      </c>
      <c r="N518" t="s">
        <v>986</v>
      </c>
    </row>
    <row r="519" spans="1:14" x14ac:dyDescent="0.2">
      <c r="A519">
        <v>10433</v>
      </c>
      <c r="B519" t="s">
        <v>1241</v>
      </c>
      <c r="C519">
        <v>3</v>
      </c>
      <c r="D519" s="19">
        <v>35464</v>
      </c>
      <c r="E519" s="19">
        <v>35492</v>
      </c>
      <c r="F519" s="19">
        <v>35493</v>
      </c>
      <c r="G519">
        <v>3</v>
      </c>
      <c r="H519">
        <v>73.83</v>
      </c>
      <c r="I519" t="s">
        <v>1242</v>
      </c>
      <c r="J519" t="s">
        <v>1244</v>
      </c>
      <c r="K519" t="s">
        <v>984</v>
      </c>
      <c r="M519" t="s">
        <v>1245</v>
      </c>
      <c r="N519" t="s">
        <v>986</v>
      </c>
    </row>
    <row r="520" spans="1:14" x14ac:dyDescent="0.2">
      <c r="A520">
        <v>10477</v>
      </c>
      <c r="B520" t="s">
        <v>1241</v>
      </c>
      <c r="C520">
        <v>5</v>
      </c>
      <c r="D520" s="19">
        <v>35506</v>
      </c>
      <c r="E520" s="19">
        <v>35534</v>
      </c>
      <c r="F520" s="19">
        <v>35514</v>
      </c>
      <c r="G520">
        <v>2</v>
      </c>
      <c r="H520">
        <v>13.02</v>
      </c>
      <c r="I520" t="s">
        <v>1242</v>
      </c>
      <c r="J520" t="s">
        <v>1244</v>
      </c>
      <c r="K520" t="s">
        <v>984</v>
      </c>
      <c r="M520" t="s">
        <v>1245</v>
      </c>
      <c r="N520" t="s">
        <v>986</v>
      </c>
    </row>
    <row r="521" spans="1:14" x14ac:dyDescent="0.2">
      <c r="A521">
        <v>10808</v>
      </c>
      <c r="B521" t="s">
        <v>1241</v>
      </c>
      <c r="C521">
        <v>2</v>
      </c>
      <c r="D521" s="19">
        <v>35796</v>
      </c>
      <c r="E521" s="19">
        <v>35824</v>
      </c>
      <c r="F521" s="19">
        <v>35804</v>
      </c>
      <c r="G521">
        <v>3</v>
      </c>
      <c r="H521">
        <v>45.53</v>
      </c>
      <c r="I521" t="s">
        <v>1202</v>
      </c>
      <c r="J521" t="s">
        <v>1204</v>
      </c>
      <c r="K521" t="s">
        <v>1205</v>
      </c>
      <c r="L521" t="s">
        <v>1206</v>
      </c>
      <c r="M521" t="s">
        <v>1207</v>
      </c>
      <c r="N521" t="s">
        <v>1018</v>
      </c>
    </row>
    <row r="522" spans="1:14" x14ac:dyDescent="0.2">
      <c r="A522">
        <v>11007</v>
      </c>
      <c r="B522" t="s">
        <v>1241</v>
      </c>
      <c r="C522">
        <v>8</v>
      </c>
      <c r="D522" s="19">
        <v>35893</v>
      </c>
      <c r="E522" s="19">
        <v>35921</v>
      </c>
      <c r="F522" s="19">
        <v>35898</v>
      </c>
      <c r="G522">
        <v>2</v>
      </c>
      <c r="H522">
        <v>202.24</v>
      </c>
      <c r="I522" t="s">
        <v>1242</v>
      </c>
      <c r="J522" t="s">
        <v>1244</v>
      </c>
      <c r="K522" t="s">
        <v>984</v>
      </c>
      <c r="M522" t="s">
        <v>1245</v>
      </c>
      <c r="N522" t="s">
        <v>986</v>
      </c>
    </row>
    <row r="523" spans="1:14" x14ac:dyDescent="0.2">
      <c r="A523">
        <v>10261</v>
      </c>
      <c r="B523" t="s">
        <v>1247</v>
      </c>
      <c r="C523">
        <v>4</v>
      </c>
      <c r="D523" s="19">
        <v>35265</v>
      </c>
      <c r="E523" s="19">
        <v>35293</v>
      </c>
      <c r="F523" s="19">
        <v>35276</v>
      </c>
      <c r="G523">
        <v>2</v>
      </c>
      <c r="H523">
        <v>3.05</v>
      </c>
      <c r="I523" t="s">
        <v>1248</v>
      </c>
      <c r="J523" t="s">
        <v>1250</v>
      </c>
      <c r="K523" t="s">
        <v>1034</v>
      </c>
      <c r="L523" t="s">
        <v>1035</v>
      </c>
      <c r="M523" t="s">
        <v>1251</v>
      </c>
      <c r="N523" t="s">
        <v>885</v>
      </c>
    </row>
    <row r="524" spans="1:14" x14ac:dyDescent="0.2">
      <c r="A524">
        <v>10291</v>
      </c>
      <c r="B524" t="s">
        <v>1247</v>
      </c>
      <c r="C524">
        <v>6</v>
      </c>
      <c r="D524" s="19">
        <v>35304</v>
      </c>
      <c r="E524" s="19">
        <v>35332</v>
      </c>
      <c r="F524" s="19">
        <v>35312</v>
      </c>
      <c r="G524">
        <v>2</v>
      </c>
      <c r="H524">
        <v>6.4</v>
      </c>
      <c r="I524" t="s">
        <v>1248</v>
      </c>
      <c r="J524" t="s">
        <v>1250</v>
      </c>
      <c r="K524" t="s">
        <v>1034</v>
      </c>
      <c r="L524" t="s">
        <v>1035</v>
      </c>
      <c r="M524" t="s">
        <v>1251</v>
      </c>
      <c r="N524" t="s">
        <v>885</v>
      </c>
    </row>
    <row r="525" spans="1:14" x14ac:dyDescent="0.2">
      <c r="A525">
        <v>10379</v>
      </c>
      <c r="B525" t="s">
        <v>1247</v>
      </c>
      <c r="C525">
        <v>2</v>
      </c>
      <c r="D525" s="19">
        <v>35410</v>
      </c>
      <c r="E525" s="19">
        <v>35438</v>
      </c>
      <c r="F525" s="19">
        <v>35412</v>
      </c>
      <c r="G525">
        <v>1</v>
      </c>
      <c r="H525">
        <v>45.03</v>
      </c>
      <c r="I525" t="s">
        <v>1248</v>
      </c>
      <c r="J525" t="s">
        <v>1250</v>
      </c>
      <c r="K525" t="s">
        <v>1034</v>
      </c>
      <c r="L525" t="s">
        <v>1035</v>
      </c>
      <c r="M525" t="s">
        <v>1251</v>
      </c>
      <c r="N525" t="s">
        <v>885</v>
      </c>
    </row>
    <row r="526" spans="1:14" x14ac:dyDescent="0.2">
      <c r="A526">
        <v>10421</v>
      </c>
      <c r="B526" t="s">
        <v>1247</v>
      </c>
      <c r="C526">
        <v>8</v>
      </c>
      <c r="D526" s="19">
        <v>35451</v>
      </c>
      <c r="E526" s="19">
        <v>35493</v>
      </c>
      <c r="F526" s="19">
        <v>35457</v>
      </c>
      <c r="G526">
        <v>1</v>
      </c>
      <c r="H526">
        <v>99.23</v>
      </c>
      <c r="I526" t="s">
        <v>1248</v>
      </c>
      <c r="J526" t="s">
        <v>1250</v>
      </c>
      <c r="K526" t="s">
        <v>1034</v>
      </c>
      <c r="L526" t="s">
        <v>1035</v>
      </c>
      <c r="M526" t="s">
        <v>1251</v>
      </c>
      <c r="N526" t="s">
        <v>885</v>
      </c>
    </row>
    <row r="527" spans="1:14" x14ac:dyDescent="0.2">
      <c r="A527">
        <v>10587</v>
      </c>
      <c r="B527" t="s">
        <v>1247</v>
      </c>
      <c r="C527">
        <v>1</v>
      </c>
      <c r="D527" s="19">
        <v>35613</v>
      </c>
      <c r="E527" s="19">
        <v>35641</v>
      </c>
      <c r="F527" s="19">
        <v>35620</v>
      </c>
      <c r="G527">
        <v>1</v>
      </c>
      <c r="H527">
        <v>62.52</v>
      </c>
      <c r="I527" t="s">
        <v>1248</v>
      </c>
      <c r="J527" t="s">
        <v>1250</v>
      </c>
      <c r="K527" t="s">
        <v>1034</v>
      </c>
      <c r="L527" t="s">
        <v>1035</v>
      </c>
      <c r="M527" t="s">
        <v>1251</v>
      </c>
      <c r="N527" t="s">
        <v>885</v>
      </c>
    </row>
    <row r="528" spans="1:14" x14ac:dyDescent="0.2">
      <c r="A528">
        <v>10647</v>
      </c>
      <c r="B528" t="s">
        <v>1247</v>
      </c>
      <c r="C528">
        <v>4</v>
      </c>
      <c r="D528" s="19">
        <v>35669</v>
      </c>
      <c r="E528" s="19">
        <v>35683</v>
      </c>
      <c r="F528" s="19">
        <v>35676</v>
      </c>
      <c r="G528">
        <v>2</v>
      </c>
      <c r="H528">
        <v>45.54</v>
      </c>
      <c r="I528" t="s">
        <v>1248</v>
      </c>
      <c r="J528" t="s">
        <v>1250</v>
      </c>
      <c r="K528" t="s">
        <v>1034</v>
      </c>
      <c r="L528" t="s">
        <v>1035</v>
      </c>
      <c r="M528" t="s">
        <v>1251</v>
      </c>
      <c r="N528" t="s">
        <v>885</v>
      </c>
    </row>
    <row r="529" spans="1:14" x14ac:dyDescent="0.2">
      <c r="A529">
        <v>10720</v>
      </c>
      <c r="B529" t="s">
        <v>1247</v>
      </c>
      <c r="C529">
        <v>8</v>
      </c>
      <c r="D529" s="19">
        <v>35731</v>
      </c>
      <c r="E529" s="19">
        <v>35745</v>
      </c>
      <c r="F529" s="19">
        <v>35739</v>
      </c>
      <c r="G529">
        <v>2</v>
      </c>
      <c r="H529">
        <v>9.5299999999999994</v>
      </c>
      <c r="I529" t="s">
        <v>1248</v>
      </c>
      <c r="J529" t="s">
        <v>1250</v>
      </c>
      <c r="K529" t="s">
        <v>1034</v>
      </c>
      <c r="L529" t="s">
        <v>1035</v>
      </c>
      <c r="M529" t="s">
        <v>1251</v>
      </c>
      <c r="N529" t="s">
        <v>885</v>
      </c>
    </row>
    <row r="530" spans="1:14" x14ac:dyDescent="0.2">
      <c r="A530">
        <v>10794</v>
      </c>
      <c r="B530" t="s">
        <v>1247</v>
      </c>
      <c r="C530">
        <v>6</v>
      </c>
      <c r="D530" s="19">
        <v>35788</v>
      </c>
      <c r="E530" s="19">
        <v>35816</v>
      </c>
      <c r="F530" s="19">
        <v>35797</v>
      </c>
      <c r="G530">
        <v>1</v>
      </c>
      <c r="H530">
        <v>21.49</v>
      </c>
      <c r="I530" t="s">
        <v>1248</v>
      </c>
      <c r="J530" t="s">
        <v>1250</v>
      </c>
      <c r="K530" t="s">
        <v>1034</v>
      </c>
      <c r="L530" t="s">
        <v>1035</v>
      </c>
      <c r="M530" t="s">
        <v>1251</v>
      </c>
      <c r="N530" t="s">
        <v>885</v>
      </c>
    </row>
    <row r="531" spans="1:14" x14ac:dyDescent="0.2">
      <c r="A531">
        <v>10989</v>
      </c>
      <c r="B531" t="s">
        <v>1247</v>
      </c>
      <c r="C531">
        <v>2</v>
      </c>
      <c r="D531" s="19">
        <v>35885</v>
      </c>
      <c r="E531" s="19">
        <v>35913</v>
      </c>
      <c r="F531" s="19">
        <v>35887</v>
      </c>
      <c r="G531">
        <v>1</v>
      </c>
      <c r="H531">
        <v>34.76</v>
      </c>
      <c r="I531" t="s">
        <v>1248</v>
      </c>
      <c r="J531" t="s">
        <v>1250</v>
      </c>
      <c r="K531" t="s">
        <v>1034</v>
      </c>
      <c r="L531" t="s">
        <v>1035</v>
      </c>
      <c r="M531" t="s">
        <v>1251</v>
      </c>
      <c r="N531" t="s">
        <v>885</v>
      </c>
    </row>
    <row r="532" spans="1:14" x14ac:dyDescent="0.2">
      <c r="A532">
        <v>10372</v>
      </c>
      <c r="B532" t="s">
        <v>1254</v>
      </c>
      <c r="C532">
        <v>5</v>
      </c>
      <c r="D532" s="19">
        <v>35403</v>
      </c>
      <c r="E532" s="19">
        <v>35431</v>
      </c>
      <c r="F532" s="19">
        <v>35408</v>
      </c>
      <c r="G532">
        <v>2</v>
      </c>
      <c r="H532">
        <v>890.78</v>
      </c>
      <c r="I532" t="s">
        <v>1255</v>
      </c>
      <c r="J532" t="s">
        <v>1257</v>
      </c>
      <c r="K532" t="s">
        <v>882</v>
      </c>
      <c r="L532" t="s">
        <v>883</v>
      </c>
      <c r="M532" t="s">
        <v>1258</v>
      </c>
      <c r="N532" t="s">
        <v>885</v>
      </c>
    </row>
    <row r="533" spans="1:14" x14ac:dyDescent="0.2">
      <c r="A533">
        <v>10406</v>
      </c>
      <c r="B533" t="s">
        <v>1254</v>
      </c>
      <c r="C533">
        <v>7</v>
      </c>
      <c r="D533" s="19">
        <v>35437</v>
      </c>
      <c r="E533" s="19">
        <v>35479</v>
      </c>
      <c r="F533" s="19">
        <v>35443</v>
      </c>
      <c r="G533">
        <v>1</v>
      </c>
      <c r="H533">
        <v>108.04</v>
      </c>
      <c r="I533" t="s">
        <v>1255</v>
      </c>
      <c r="J533" t="s">
        <v>1257</v>
      </c>
      <c r="K533" t="s">
        <v>882</v>
      </c>
      <c r="L533" t="s">
        <v>883</v>
      </c>
      <c r="M533" t="s">
        <v>1258</v>
      </c>
      <c r="N533" t="s">
        <v>885</v>
      </c>
    </row>
    <row r="534" spans="1:14" x14ac:dyDescent="0.2">
      <c r="A534">
        <v>10487</v>
      </c>
      <c r="B534" t="s">
        <v>1254</v>
      </c>
      <c r="C534">
        <v>2</v>
      </c>
      <c r="D534" s="19">
        <v>35515</v>
      </c>
      <c r="E534" s="19">
        <v>35543</v>
      </c>
      <c r="F534" s="19">
        <v>35517</v>
      </c>
      <c r="G534">
        <v>2</v>
      </c>
      <c r="H534">
        <v>71.069999999999993</v>
      </c>
      <c r="I534" t="s">
        <v>1255</v>
      </c>
      <c r="J534" t="s">
        <v>1257</v>
      </c>
      <c r="K534" t="s">
        <v>882</v>
      </c>
      <c r="L534" t="s">
        <v>883</v>
      </c>
      <c r="M534" t="s">
        <v>1258</v>
      </c>
      <c r="N534" t="s">
        <v>885</v>
      </c>
    </row>
    <row r="535" spans="1:14" x14ac:dyDescent="0.2">
      <c r="A535">
        <v>10637</v>
      </c>
      <c r="B535" t="s">
        <v>1254</v>
      </c>
      <c r="C535">
        <v>6</v>
      </c>
      <c r="D535" s="19">
        <v>35661</v>
      </c>
      <c r="E535" s="19">
        <v>35689</v>
      </c>
      <c r="F535" s="19">
        <v>35668</v>
      </c>
      <c r="G535">
        <v>1</v>
      </c>
      <c r="H535">
        <v>201.29</v>
      </c>
      <c r="I535" t="s">
        <v>1255</v>
      </c>
      <c r="J535" t="s">
        <v>1257</v>
      </c>
      <c r="K535" t="s">
        <v>882</v>
      </c>
      <c r="L535" t="s">
        <v>883</v>
      </c>
      <c r="M535" t="s">
        <v>1258</v>
      </c>
      <c r="N535" t="s">
        <v>885</v>
      </c>
    </row>
    <row r="536" spans="1:14" x14ac:dyDescent="0.2">
      <c r="A536">
        <v>10659</v>
      </c>
      <c r="B536" t="s">
        <v>1254</v>
      </c>
      <c r="C536">
        <v>7</v>
      </c>
      <c r="D536" s="19">
        <v>35678</v>
      </c>
      <c r="E536" s="19">
        <v>35706</v>
      </c>
      <c r="F536" s="19">
        <v>35683</v>
      </c>
      <c r="G536">
        <v>2</v>
      </c>
      <c r="H536">
        <v>105.81</v>
      </c>
      <c r="I536" t="s">
        <v>1255</v>
      </c>
      <c r="J536" t="s">
        <v>1257</v>
      </c>
      <c r="K536" t="s">
        <v>882</v>
      </c>
      <c r="L536" t="s">
        <v>883</v>
      </c>
      <c r="M536" t="s">
        <v>1258</v>
      </c>
      <c r="N536" t="s">
        <v>885</v>
      </c>
    </row>
    <row r="537" spans="1:14" x14ac:dyDescent="0.2">
      <c r="A537">
        <v>10704</v>
      </c>
      <c r="B537" t="s">
        <v>1254</v>
      </c>
      <c r="C537">
        <v>6</v>
      </c>
      <c r="D537" s="19">
        <v>35717</v>
      </c>
      <c r="E537" s="19">
        <v>35745</v>
      </c>
      <c r="F537" s="19">
        <v>35741</v>
      </c>
      <c r="G537">
        <v>1</v>
      </c>
      <c r="H537">
        <v>4.78</v>
      </c>
      <c r="I537" t="s">
        <v>1255</v>
      </c>
      <c r="J537" t="s">
        <v>1257</v>
      </c>
      <c r="K537" t="s">
        <v>882</v>
      </c>
      <c r="L537" t="s">
        <v>883</v>
      </c>
      <c r="M537" t="s">
        <v>1258</v>
      </c>
      <c r="N537" t="s">
        <v>885</v>
      </c>
    </row>
    <row r="538" spans="1:14" x14ac:dyDescent="0.2">
      <c r="A538">
        <v>10728</v>
      </c>
      <c r="B538" t="s">
        <v>1254</v>
      </c>
      <c r="C538">
        <v>4</v>
      </c>
      <c r="D538" s="19">
        <v>35738</v>
      </c>
      <c r="E538" s="19">
        <v>35766</v>
      </c>
      <c r="F538" s="19">
        <v>35745</v>
      </c>
      <c r="G538">
        <v>2</v>
      </c>
      <c r="H538">
        <v>58.33</v>
      </c>
      <c r="I538" t="s">
        <v>1255</v>
      </c>
      <c r="J538" t="s">
        <v>1257</v>
      </c>
      <c r="K538" t="s">
        <v>882</v>
      </c>
      <c r="L538" t="s">
        <v>883</v>
      </c>
      <c r="M538" t="s">
        <v>1258</v>
      </c>
      <c r="N538" t="s">
        <v>885</v>
      </c>
    </row>
    <row r="539" spans="1:14" x14ac:dyDescent="0.2">
      <c r="A539">
        <v>10786</v>
      </c>
      <c r="B539" t="s">
        <v>1254</v>
      </c>
      <c r="C539">
        <v>8</v>
      </c>
      <c r="D539" s="19">
        <v>35783</v>
      </c>
      <c r="E539" s="19">
        <v>35811</v>
      </c>
      <c r="F539" s="19">
        <v>35787</v>
      </c>
      <c r="G539">
        <v>1</v>
      </c>
      <c r="H539">
        <v>110.87</v>
      </c>
      <c r="I539" t="s">
        <v>1255</v>
      </c>
      <c r="J539" t="s">
        <v>1257</v>
      </c>
      <c r="K539" t="s">
        <v>882</v>
      </c>
      <c r="L539" t="s">
        <v>883</v>
      </c>
      <c r="M539" t="s">
        <v>1258</v>
      </c>
      <c r="N539" t="s">
        <v>885</v>
      </c>
    </row>
    <row r="540" spans="1:14" x14ac:dyDescent="0.2">
      <c r="A540">
        <v>10868</v>
      </c>
      <c r="B540" t="s">
        <v>1254</v>
      </c>
      <c r="C540">
        <v>7</v>
      </c>
      <c r="D540" s="19">
        <v>35830</v>
      </c>
      <c r="E540" s="19">
        <v>35858</v>
      </c>
      <c r="F540" s="19">
        <v>35849</v>
      </c>
      <c r="G540">
        <v>2</v>
      </c>
      <c r="H540">
        <v>191.27</v>
      </c>
      <c r="I540" t="s">
        <v>1255</v>
      </c>
      <c r="J540" t="s">
        <v>1257</v>
      </c>
      <c r="K540" t="s">
        <v>882</v>
      </c>
      <c r="L540" t="s">
        <v>883</v>
      </c>
      <c r="M540" t="s">
        <v>1258</v>
      </c>
      <c r="N540" t="s">
        <v>885</v>
      </c>
    </row>
    <row r="541" spans="1:14" x14ac:dyDescent="0.2">
      <c r="A541">
        <v>10913</v>
      </c>
      <c r="B541" t="s">
        <v>1254</v>
      </c>
      <c r="C541">
        <v>4</v>
      </c>
      <c r="D541" s="19">
        <v>35852</v>
      </c>
      <c r="E541" s="19">
        <v>35880</v>
      </c>
      <c r="F541" s="19">
        <v>35858</v>
      </c>
      <c r="G541">
        <v>1</v>
      </c>
      <c r="H541">
        <v>33.049999999999997</v>
      </c>
      <c r="I541" t="s">
        <v>1255</v>
      </c>
      <c r="J541" t="s">
        <v>1257</v>
      </c>
      <c r="K541" t="s">
        <v>882</v>
      </c>
      <c r="L541" t="s">
        <v>883</v>
      </c>
      <c r="M541" t="s">
        <v>1258</v>
      </c>
      <c r="N541" t="s">
        <v>885</v>
      </c>
    </row>
    <row r="542" spans="1:14" x14ac:dyDescent="0.2">
      <c r="A542">
        <v>10914</v>
      </c>
      <c r="B542" t="s">
        <v>1254</v>
      </c>
      <c r="C542">
        <v>6</v>
      </c>
      <c r="D542" s="19">
        <v>35853</v>
      </c>
      <c r="E542" s="19">
        <v>35881</v>
      </c>
      <c r="F542" s="19">
        <v>35856</v>
      </c>
      <c r="G542">
        <v>1</v>
      </c>
      <c r="H542">
        <v>21.19</v>
      </c>
      <c r="I542" t="s">
        <v>1255</v>
      </c>
      <c r="J542" t="s">
        <v>1257</v>
      </c>
      <c r="K542" t="s">
        <v>882</v>
      </c>
      <c r="L542" t="s">
        <v>883</v>
      </c>
      <c r="M542" t="s">
        <v>1258</v>
      </c>
      <c r="N542" t="s">
        <v>885</v>
      </c>
    </row>
    <row r="543" spans="1:14" x14ac:dyDescent="0.2">
      <c r="A543">
        <v>10961</v>
      </c>
      <c r="B543" t="s">
        <v>1254</v>
      </c>
      <c r="C543">
        <v>8</v>
      </c>
      <c r="D543" s="19">
        <v>35873</v>
      </c>
      <c r="E543" s="19">
        <v>35901</v>
      </c>
      <c r="F543" s="19">
        <v>35884</v>
      </c>
      <c r="G543">
        <v>1</v>
      </c>
      <c r="H543">
        <v>104.47</v>
      </c>
      <c r="I543" t="s">
        <v>1255</v>
      </c>
      <c r="J543" t="s">
        <v>1257</v>
      </c>
      <c r="K543" t="s">
        <v>882</v>
      </c>
      <c r="L543" t="s">
        <v>883</v>
      </c>
      <c r="M543" t="s">
        <v>1258</v>
      </c>
      <c r="N543" t="s">
        <v>885</v>
      </c>
    </row>
    <row r="544" spans="1:14" x14ac:dyDescent="0.2">
      <c r="A544">
        <v>11068</v>
      </c>
      <c r="B544" t="s">
        <v>1254</v>
      </c>
      <c r="C544">
        <v>8</v>
      </c>
      <c r="D544" s="19">
        <v>35919</v>
      </c>
      <c r="E544" s="19">
        <v>35947</v>
      </c>
      <c r="F544" s="19"/>
      <c r="G544">
        <v>2</v>
      </c>
      <c r="H544">
        <v>81.75</v>
      </c>
      <c r="I544" t="s">
        <v>1255</v>
      </c>
      <c r="J544" t="s">
        <v>1257</v>
      </c>
      <c r="K544" t="s">
        <v>882</v>
      </c>
      <c r="L544" t="s">
        <v>883</v>
      </c>
      <c r="M544" t="s">
        <v>1258</v>
      </c>
      <c r="N544" t="s">
        <v>885</v>
      </c>
    </row>
    <row r="545" spans="1:14" x14ac:dyDescent="0.2">
      <c r="A545">
        <v>10273</v>
      </c>
      <c r="B545" t="s">
        <v>1260</v>
      </c>
      <c r="C545">
        <v>3</v>
      </c>
      <c r="D545" s="19">
        <v>35282</v>
      </c>
      <c r="E545" s="19">
        <v>35310</v>
      </c>
      <c r="F545" s="19">
        <v>35289</v>
      </c>
      <c r="G545">
        <v>3</v>
      </c>
      <c r="H545">
        <v>76.069999999999993</v>
      </c>
      <c r="I545" t="s">
        <v>1261</v>
      </c>
      <c r="J545" t="s">
        <v>1263</v>
      </c>
      <c r="K545" t="s">
        <v>1264</v>
      </c>
      <c r="M545" t="s">
        <v>1265</v>
      </c>
      <c r="N545" t="s">
        <v>762</v>
      </c>
    </row>
    <row r="546" spans="1:14" x14ac:dyDescent="0.2">
      <c r="A546">
        <v>10285</v>
      </c>
      <c r="B546" t="s">
        <v>1260</v>
      </c>
      <c r="C546">
        <v>1</v>
      </c>
      <c r="D546" s="19">
        <v>35297</v>
      </c>
      <c r="E546" s="19">
        <v>35325</v>
      </c>
      <c r="F546" s="19">
        <v>35303</v>
      </c>
      <c r="G546">
        <v>2</v>
      </c>
      <c r="H546">
        <v>76.83</v>
      </c>
      <c r="I546" t="s">
        <v>1261</v>
      </c>
      <c r="J546" t="s">
        <v>1263</v>
      </c>
      <c r="K546" t="s">
        <v>1264</v>
      </c>
      <c r="M546" t="s">
        <v>1265</v>
      </c>
      <c r="N546" t="s">
        <v>762</v>
      </c>
    </row>
    <row r="547" spans="1:14" x14ac:dyDescent="0.2">
      <c r="A547">
        <v>10286</v>
      </c>
      <c r="B547" t="s">
        <v>1260</v>
      </c>
      <c r="C547">
        <v>8</v>
      </c>
      <c r="D547" s="19">
        <v>35298</v>
      </c>
      <c r="E547" s="19">
        <v>35326</v>
      </c>
      <c r="F547" s="19">
        <v>35307</v>
      </c>
      <c r="G547">
        <v>3</v>
      </c>
      <c r="H547">
        <v>229.24</v>
      </c>
      <c r="I547" t="s">
        <v>1261</v>
      </c>
      <c r="J547" t="s">
        <v>1263</v>
      </c>
      <c r="K547" t="s">
        <v>1264</v>
      </c>
      <c r="M547" t="s">
        <v>1265</v>
      </c>
      <c r="N547" t="s">
        <v>762</v>
      </c>
    </row>
    <row r="548" spans="1:14" x14ac:dyDescent="0.2">
      <c r="A548">
        <v>10313</v>
      </c>
      <c r="B548" t="s">
        <v>1260</v>
      </c>
      <c r="C548">
        <v>2</v>
      </c>
      <c r="D548" s="19">
        <v>35332</v>
      </c>
      <c r="E548" s="19">
        <v>35360</v>
      </c>
      <c r="F548" s="19">
        <v>35342</v>
      </c>
      <c r="G548">
        <v>2</v>
      </c>
      <c r="H548">
        <v>1.96</v>
      </c>
      <c r="I548" t="s">
        <v>1261</v>
      </c>
      <c r="J548" t="s">
        <v>1263</v>
      </c>
      <c r="K548" t="s">
        <v>1264</v>
      </c>
      <c r="M548" t="s">
        <v>1265</v>
      </c>
      <c r="N548" t="s">
        <v>762</v>
      </c>
    </row>
    <row r="549" spans="1:14" x14ac:dyDescent="0.2">
      <c r="A549">
        <v>10345</v>
      </c>
      <c r="B549" t="s">
        <v>1260</v>
      </c>
      <c r="C549">
        <v>2</v>
      </c>
      <c r="D549" s="19">
        <v>35373</v>
      </c>
      <c r="E549" s="19">
        <v>35401</v>
      </c>
      <c r="F549" s="19">
        <v>35380</v>
      </c>
      <c r="G549">
        <v>2</v>
      </c>
      <c r="H549">
        <v>249.06</v>
      </c>
      <c r="I549" t="s">
        <v>1261</v>
      </c>
      <c r="J549" t="s">
        <v>1263</v>
      </c>
      <c r="K549" t="s">
        <v>1264</v>
      </c>
      <c r="M549" t="s">
        <v>1265</v>
      </c>
      <c r="N549" t="s">
        <v>762</v>
      </c>
    </row>
    <row r="550" spans="1:14" x14ac:dyDescent="0.2">
      <c r="A550">
        <v>10361</v>
      </c>
      <c r="B550" t="s">
        <v>1260</v>
      </c>
      <c r="C550">
        <v>1</v>
      </c>
      <c r="D550" s="19">
        <v>35391</v>
      </c>
      <c r="E550" s="19">
        <v>35419</v>
      </c>
      <c r="F550" s="19">
        <v>35402</v>
      </c>
      <c r="G550">
        <v>2</v>
      </c>
      <c r="H550">
        <v>183.17</v>
      </c>
      <c r="I550" t="s">
        <v>1261</v>
      </c>
      <c r="J550" t="s">
        <v>1263</v>
      </c>
      <c r="K550" t="s">
        <v>1264</v>
      </c>
      <c r="M550" t="s">
        <v>1265</v>
      </c>
      <c r="N550" t="s">
        <v>762</v>
      </c>
    </row>
    <row r="551" spans="1:14" x14ac:dyDescent="0.2">
      <c r="A551">
        <v>10418</v>
      </c>
      <c r="B551" t="s">
        <v>1260</v>
      </c>
      <c r="C551">
        <v>4</v>
      </c>
      <c r="D551" s="19">
        <v>35447</v>
      </c>
      <c r="E551" s="19">
        <v>35475</v>
      </c>
      <c r="F551" s="19">
        <v>35454</v>
      </c>
      <c r="G551">
        <v>1</v>
      </c>
      <c r="H551">
        <v>17.55</v>
      </c>
      <c r="I551" t="s">
        <v>1261</v>
      </c>
      <c r="J551" t="s">
        <v>1263</v>
      </c>
      <c r="K551" t="s">
        <v>1264</v>
      </c>
      <c r="M551" t="s">
        <v>1265</v>
      </c>
      <c r="N551" t="s">
        <v>762</v>
      </c>
    </row>
    <row r="552" spans="1:14" x14ac:dyDescent="0.2">
      <c r="A552">
        <v>10451</v>
      </c>
      <c r="B552" t="s">
        <v>1260</v>
      </c>
      <c r="C552">
        <v>4</v>
      </c>
      <c r="D552" s="19">
        <v>35480</v>
      </c>
      <c r="E552" s="19">
        <v>35494</v>
      </c>
      <c r="F552" s="19">
        <v>35501</v>
      </c>
      <c r="G552">
        <v>3</v>
      </c>
      <c r="H552">
        <v>189.09</v>
      </c>
      <c r="I552" t="s">
        <v>1261</v>
      </c>
      <c r="J552" t="s">
        <v>1263</v>
      </c>
      <c r="K552" t="s">
        <v>1264</v>
      </c>
      <c r="M552" t="s">
        <v>1265</v>
      </c>
      <c r="N552" t="s">
        <v>762</v>
      </c>
    </row>
    <row r="553" spans="1:14" x14ac:dyDescent="0.2">
      <c r="A553">
        <v>10515</v>
      </c>
      <c r="B553" t="s">
        <v>1260</v>
      </c>
      <c r="C553">
        <v>2</v>
      </c>
      <c r="D553" s="19">
        <v>35543</v>
      </c>
      <c r="E553" s="19">
        <v>35557</v>
      </c>
      <c r="F553" s="19">
        <v>35573</v>
      </c>
      <c r="G553">
        <v>1</v>
      </c>
      <c r="H553">
        <v>204.47</v>
      </c>
      <c r="I553" t="s">
        <v>1261</v>
      </c>
      <c r="J553" t="s">
        <v>1263</v>
      </c>
      <c r="K553" t="s">
        <v>1264</v>
      </c>
      <c r="M553" t="s">
        <v>1265</v>
      </c>
      <c r="N553" t="s">
        <v>762</v>
      </c>
    </row>
    <row r="554" spans="1:14" x14ac:dyDescent="0.2">
      <c r="A554">
        <v>10527</v>
      </c>
      <c r="B554" t="s">
        <v>1260</v>
      </c>
      <c r="C554">
        <v>7</v>
      </c>
      <c r="D554" s="19">
        <v>35555</v>
      </c>
      <c r="E554" s="19">
        <v>35583</v>
      </c>
      <c r="F554" s="19">
        <v>35557</v>
      </c>
      <c r="G554">
        <v>1</v>
      </c>
      <c r="H554">
        <v>41.9</v>
      </c>
      <c r="I554" t="s">
        <v>1261</v>
      </c>
      <c r="J554" t="s">
        <v>1263</v>
      </c>
      <c r="K554" t="s">
        <v>1264</v>
      </c>
      <c r="M554" t="s">
        <v>1265</v>
      </c>
      <c r="N554" t="s">
        <v>762</v>
      </c>
    </row>
    <row r="555" spans="1:14" x14ac:dyDescent="0.2">
      <c r="A555">
        <v>10540</v>
      </c>
      <c r="B555" t="s">
        <v>1260</v>
      </c>
      <c r="C555">
        <v>3</v>
      </c>
      <c r="D555" s="19">
        <v>35569</v>
      </c>
      <c r="E555" s="19">
        <v>35597</v>
      </c>
      <c r="F555" s="19">
        <v>35594</v>
      </c>
      <c r="G555">
        <v>3</v>
      </c>
      <c r="H555">
        <v>1007.64</v>
      </c>
      <c r="I555" t="s">
        <v>1261</v>
      </c>
      <c r="J555" t="s">
        <v>1263</v>
      </c>
      <c r="K555" t="s">
        <v>1264</v>
      </c>
      <c r="M555" t="s">
        <v>1265</v>
      </c>
      <c r="N555" t="s">
        <v>762</v>
      </c>
    </row>
    <row r="556" spans="1:14" x14ac:dyDescent="0.2">
      <c r="A556">
        <v>10549</v>
      </c>
      <c r="B556" t="s">
        <v>1260</v>
      </c>
      <c r="C556">
        <v>5</v>
      </c>
      <c r="D556" s="19">
        <v>35577</v>
      </c>
      <c r="E556" s="19">
        <v>35591</v>
      </c>
      <c r="F556" s="19">
        <v>35580</v>
      </c>
      <c r="G556">
        <v>1</v>
      </c>
      <c r="H556">
        <v>171.24</v>
      </c>
      <c r="I556" t="s">
        <v>1261</v>
      </c>
      <c r="J556" t="s">
        <v>1263</v>
      </c>
      <c r="K556" t="s">
        <v>1264</v>
      </c>
      <c r="M556" t="s">
        <v>1265</v>
      </c>
      <c r="N556" t="s">
        <v>762</v>
      </c>
    </row>
    <row r="557" spans="1:14" x14ac:dyDescent="0.2">
      <c r="A557">
        <v>10588</v>
      </c>
      <c r="B557" t="s">
        <v>1260</v>
      </c>
      <c r="C557">
        <v>2</v>
      </c>
      <c r="D557" s="19">
        <v>35614</v>
      </c>
      <c r="E557" s="19">
        <v>35642</v>
      </c>
      <c r="F557" s="19">
        <v>35621</v>
      </c>
      <c r="G557">
        <v>3</v>
      </c>
      <c r="H557">
        <v>194.67</v>
      </c>
      <c r="I557" t="s">
        <v>1261</v>
      </c>
      <c r="J557" t="s">
        <v>1263</v>
      </c>
      <c r="K557" t="s">
        <v>1264</v>
      </c>
      <c r="M557" t="s">
        <v>1265</v>
      </c>
      <c r="N557" t="s">
        <v>762</v>
      </c>
    </row>
    <row r="558" spans="1:14" x14ac:dyDescent="0.2">
      <c r="A558">
        <v>10658</v>
      </c>
      <c r="B558" t="s">
        <v>1260</v>
      </c>
      <c r="C558">
        <v>4</v>
      </c>
      <c r="D558" s="19">
        <v>35678</v>
      </c>
      <c r="E558" s="19">
        <v>35706</v>
      </c>
      <c r="F558" s="19">
        <v>35681</v>
      </c>
      <c r="G558">
        <v>1</v>
      </c>
      <c r="H558">
        <v>364.15</v>
      </c>
      <c r="I558" t="s">
        <v>1261</v>
      </c>
      <c r="J558" t="s">
        <v>1263</v>
      </c>
      <c r="K558" t="s">
        <v>1264</v>
      </c>
      <c r="M558" t="s">
        <v>1265</v>
      </c>
      <c r="N558" t="s">
        <v>762</v>
      </c>
    </row>
    <row r="559" spans="1:14" x14ac:dyDescent="0.2">
      <c r="A559">
        <v>10691</v>
      </c>
      <c r="B559" t="s">
        <v>1260</v>
      </c>
      <c r="C559">
        <v>2</v>
      </c>
      <c r="D559" s="19">
        <v>35706</v>
      </c>
      <c r="E559" s="19">
        <v>35748</v>
      </c>
      <c r="F559" s="19">
        <v>35725</v>
      </c>
      <c r="G559">
        <v>2</v>
      </c>
      <c r="H559">
        <v>810.05</v>
      </c>
      <c r="I559" t="s">
        <v>1261</v>
      </c>
      <c r="J559" t="s">
        <v>1263</v>
      </c>
      <c r="K559" t="s">
        <v>1264</v>
      </c>
      <c r="M559" t="s">
        <v>1265</v>
      </c>
      <c r="N559" t="s">
        <v>762</v>
      </c>
    </row>
    <row r="560" spans="1:14" x14ac:dyDescent="0.2">
      <c r="A560">
        <v>10694</v>
      </c>
      <c r="B560" t="s">
        <v>1260</v>
      </c>
      <c r="C560">
        <v>8</v>
      </c>
      <c r="D560" s="19">
        <v>35709</v>
      </c>
      <c r="E560" s="19">
        <v>35737</v>
      </c>
      <c r="F560" s="19">
        <v>35712</v>
      </c>
      <c r="G560">
        <v>3</v>
      </c>
      <c r="H560">
        <v>398.36</v>
      </c>
      <c r="I560" t="s">
        <v>1261</v>
      </c>
      <c r="J560" t="s">
        <v>1263</v>
      </c>
      <c r="K560" t="s">
        <v>1264</v>
      </c>
      <c r="M560" t="s">
        <v>1265</v>
      </c>
      <c r="N560" t="s">
        <v>762</v>
      </c>
    </row>
    <row r="561" spans="1:14" x14ac:dyDescent="0.2">
      <c r="A561">
        <v>10721</v>
      </c>
      <c r="B561" t="s">
        <v>1260</v>
      </c>
      <c r="C561">
        <v>5</v>
      </c>
      <c r="D561" s="19">
        <v>35732</v>
      </c>
      <c r="E561" s="19">
        <v>35760</v>
      </c>
      <c r="F561" s="19">
        <v>35734</v>
      </c>
      <c r="G561">
        <v>3</v>
      </c>
      <c r="H561">
        <v>48.92</v>
      </c>
      <c r="I561" t="s">
        <v>1261</v>
      </c>
      <c r="J561" t="s">
        <v>1263</v>
      </c>
      <c r="K561" t="s">
        <v>1264</v>
      </c>
      <c r="M561" t="s">
        <v>1265</v>
      </c>
      <c r="N561" t="s">
        <v>762</v>
      </c>
    </row>
    <row r="562" spans="1:14" x14ac:dyDescent="0.2">
      <c r="A562">
        <v>10745</v>
      </c>
      <c r="B562" t="s">
        <v>1260</v>
      </c>
      <c r="C562">
        <v>9</v>
      </c>
      <c r="D562" s="19">
        <v>35752</v>
      </c>
      <c r="E562" s="19">
        <v>35780</v>
      </c>
      <c r="F562" s="19">
        <v>35761</v>
      </c>
      <c r="G562">
        <v>1</v>
      </c>
      <c r="H562">
        <v>3.52</v>
      </c>
      <c r="I562" t="s">
        <v>1261</v>
      </c>
      <c r="J562" t="s">
        <v>1263</v>
      </c>
      <c r="K562" t="s">
        <v>1264</v>
      </c>
      <c r="M562" t="s">
        <v>1265</v>
      </c>
      <c r="N562" t="s">
        <v>762</v>
      </c>
    </row>
    <row r="563" spans="1:14" x14ac:dyDescent="0.2">
      <c r="A563">
        <v>10765</v>
      </c>
      <c r="B563" t="s">
        <v>1260</v>
      </c>
      <c r="C563">
        <v>3</v>
      </c>
      <c r="D563" s="19">
        <v>35768</v>
      </c>
      <c r="E563" s="19">
        <v>35796</v>
      </c>
      <c r="F563" s="19">
        <v>35773</v>
      </c>
      <c r="G563">
        <v>3</v>
      </c>
      <c r="H563">
        <v>42.74</v>
      </c>
      <c r="I563" t="s">
        <v>1261</v>
      </c>
      <c r="J563" t="s">
        <v>1263</v>
      </c>
      <c r="K563" t="s">
        <v>1264</v>
      </c>
      <c r="M563" t="s">
        <v>1265</v>
      </c>
      <c r="N563" t="s">
        <v>762</v>
      </c>
    </row>
    <row r="564" spans="1:14" x14ac:dyDescent="0.2">
      <c r="A564">
        <v>10788</v>
      </c>
      <c r="B564" t="s">
        <v>1260</v>
      </c>
      <c r="C564">
        <v>1</v>
      </c>
      <c r="D564" s="19">
        <v>35786</v>
      </c>
      <c r="E564" s="19">
        <v>35814</v>
      </c>
      <c r="F564" s="19">
        <v>35814</v>
      </c>
      <c r="G564">
        <v>2</v>
      </c>
      <c r="H564">
        <v>42.7</v>
      </c>
      <c r="I564" t="s">
        <v>1261</v>
      </c>
      <c r="J564" t="s">
        <v>1263</v>
      </c>
      <c r="K564" t="s">
        <v>1264</v>
      </c>
      <c r="M564" t="s">
        <v>1265</v>
      </c>
      <c r="N564" t="s">
        <v>762</v>
      </c>
    </row>
    <row r="565" spans="1:14" x14ac:dyDescent="0.2">
      <c r="A565">
        <v>10845</v>
      </c>
      <c r="B565" t="s">
        <v>1260</v>
      </c>
      <c r="C565">
        <v>8</v>
      </c>
      <c r="D565" s="19">
        <v>35816</v>
      </c>
      <c r="E565" s="19">
        <v>35830</v>
      </c>
      <c r="F565" s="19">
        <v>35825</v>
      </c>
      <c r="G565">
        <v>1</v>
      </c>
      <c r="H565">
        <v>212.98</v>
      </c>
      <c r="I565" t="s">
        <v>1261</v>
      </c>
      <c r="J565" t="s">
        <v>1263</v>
      </c>
      <c r="K565" t="s">
        <v>1264</v>
      </c>
      <c r="M565" t="s">
        <v>1265</v>
      </c>
      <c r="N565" t="s">
        <v>762</v>
      </c>
    </row>
    <row r="566" spans="1:14" x14ac:dyDescent="0.2">
      <c r="A566">
        <v>10865</v>
      </c>
      <c r="B566" t="s">
        <v>1260</v>
      </c>
      <c r="C566">
        <v>2</v>
      </c>
      <c r="D566" s="19">
        <v>35828</v>
      </c>
      <c r="E566" s="19">
        <v>35842</v>
      </c>
      <c r="F566" s="19">
        <v>35838</v>
      </c>
      <c r="G566">
        <v>1</v>
      </c>
      <c r="H566">
        <v>348.14</v>
      </c>
      <c r="I566" t="s">
        <v>1261</v>
      </c>
      <c r="J566" t="s">
        <v>1263</v>
      </c>
      <c r="K566" t="s">
        <v>1264</v>
      </c>
      <c r="M566" t="s">
        <v>1265</v>
      </c>
      <c r="N566" t="s">
        <v>762</v>
      </c>
    </row>
    <row r="567" spans="1:14" x14ac:dyDescent="0.2">
      <c r="A567">
        <v>10878</v>
      </c>
      <c r="B567" t="s">
        <v>1260</v>
      </c>
      <c r="C567">
        <v>4</v>
      </c>
      <c r="D567" s="19">
        <v>35836</v>
      </c>
      <c r="E567" s="19">
        <v>35864</v>
      </c>
      <c r="F567" s="19">
        <v>35838</v>
      </c>
      <c r="G567">
        <v>1</v>
      </c>
      <c r="H567">
        <v>46.69</v>
      </c>
      <c r="I567" t="s">
        <v>1261</v>
      </c>
      <c r="J567" t="s">
        <v>1263</v>
      </c>
      <c r="K567" t="s">
        <v>1264</v>
      </c>
      <c r="M567" t="s">
        <v>1265</v>
      </c>
      <c r="N567" t="s">
        <v>762</v>
      </c>
    </row>
    <row r="568" spans="1:14" x14ac:dyDescent="0.2">
      <c r="A568">
        <v>10938</v>
      </c>
      <c r="B568" t="s">
        <v>1260</v>
      </c>
      <c r="C568">
        <v>3</v>
      </c>
      <c r="D568" s="19">
        <v>35864</v>
      </c>
      <c r="E568" s="19">
        <v>35892</v>
      </c>
      <c r="F568" s="19">
        <v>35870</v>
      </c>
      <c r="G568">
        <v>2</v>
      </c>
      <c r="H568">
        <v>31.89</v>
      </c>
      <c r="I568" t="s">
        <v>1261</v>
      </c>
      <c r="J568" t="s">
        <v>1263</v>
      </c>
      <c r="K568" t="s">
        <v>1264</v>
      </c>
      <c r="M568" t="s">
        <v>1265</v>
      </c>
      <c r="N568" t="s">
        <v>762</v>
      </c>
    </row>
    <row r="569" spans="1:14" x14ac:dyDescent="0.2">
      <c r="A569">
        <v>10962</v>
      </c>
      <c r="B569" t="s">
        <v>1260</v>
      </c>
      <c r="C569">
        <v>8</v>
      </c>
      <c r="D569" s="19">
        <v>35873</v>
      </c>
      <c r="E569" s="19">
        <v>35901</v>
      </c>
      <c r="F569" s="19">
        <v>35877</v>
      </c>
      <c r="G569">
        <v>2</v>
      </c>
      <c r="H569">
        <v>275.79000000000002</v>
      </c>
      <c r="I569" t="s">
        <v>1261</v>
      </c>
      <c r="J569" t="s">
        <v>1263</v>
      </c>
      <c r="K569" t="s">
        <v>1264</v>
      </c>
      <c r="M569" t="s">
        <v>1265</v>
      </c>
      <c r="N569" t="s">
        <v>762</v>
      </c>
    </row>
    <row r="570" spans="1:14" x14ac:dyDescent="0.2">
      <c r="A570">
        <v>10991</v>
      </c>
      <c r="B570" t="s">
        <v>1260</v>
      </c>
      <c r="C570">
        <v>1</v>
      </c>
      <c r="D570" s="19">
        <v>35886</v>
      </c>
      <c r="E570" s="19">
        <v>35914</v>
      </c>
      <c r="F570" s="19">
        <v>35892</v>
      </c>
      <c r="G570">
        <v>1</v>
      </c>
      <c r="H570">
        <v>38.51</v>
      </c>
      <c r="I570" t="s">
        <v>1261</v>
      </c>
      <c r="J570" t="s">
        <v>1263</v>
      </c>
      <c r="K570" t="s">
        <v>1264</v>
      </c>
      <c r="M570" t="s">
        <v>1265</v>
      </c>
      <c r="N570" t="s">
        <v>762</v>
      </c>
    </row>
    <row r="571" spans="1:14" x14ac:dyDescent="0.2">
      <c r="A571">
        <v>10996</v>
      </c>
      <c r="B571" t="s">
        <v>1260</v>
      </c>
      <c r="C571">
        <v>4</v>
      </c>
      <c r="D571" s="19">
        <v>35887</v>
      </c>
      <c r="E571" s="19">
        <v>35915</v>
      </c>
      <c r="F571" s="19">
        <v>35895</v>
      </c>
      <c r="G571">
        <v>2</v>
      </c>
      <c r="H571">
        <v>1.1200000000000001</v>
      </c>
      <c r="I571" t="s">
        <v>1261</v>
      </c>
      <c r="J571" t="s">
        <v>1263</v>
      </c>
      <c r="K571" t="s">
        <v>1264</v>
      </c>
      <c r="M571" t="s">
        <v>1265</v>
      </c>
      <c r="N571" t="s">
        <v>762</v>
      </c>
    </row>
    <row r="572" spans="1:14" x14ac:dyDescent="0.2">
      <c r="A572">
        <v>11021</v>
      </c>
      <c r="B572" t="s">
        <v>1260</v>
      </c>
      <c r="C572">
        <v>3</v>
      </c>
      <c r="D572" s="19">
        <v>35899</v>
      </c>
      <c r="E572" s="19">
        <v>35927</v>
      </c>
      <c r="F572" s="19">
        <v>35906</v>
      </c>
      <c r="G572">
        <v>1</v>
      </c>
      <c r="H572">
        <v>297.18</v>
      </c>
      <c r="I572" t="s">
        <v>1261</v>
      </c>
      <c r="J572" t="s">
        <v>1263</v>
      </c>
      <c r="K572" t="s">
        <v>1264</v>
      </c>
      <c r="M572" t="s">
        <v>1265</v>
      </c>
      <c r="N572" t="s">
        <v>762</v>
      </c>
    </row>
    <row r="573" spans="1:14" x14ac:dyDescent="0.2">
      <c r="A573">
        <v>10448</v>
      </c>
      <c r="B573" t="s">
        <v>1267</v>
      </c>
      <c r="C573">
        <v>4</v>
      </c>
      <c r="D573" s="19">
        <v>35478</v>
      </c>
      <c r="E573" s="19">
        <v>35506</v>
      </c>
      <c r="F573" s="19">
        <v>35485</v>
      </c>
      <c r="G573">
        <v>2</v>
      </c>
      <c r="H573">
        <v>38.82</v>
      </c>
      <c r="I573" t="s">
        <v>1268</v>
      </c>
      <c r="J573" t="s">
        <v>1270</v>
      </c>
      <c r="K573" t="s">
        <v>857</v>
      </c>
      <c r="M573" t="s">
        <v>858</v>
      </c>
      <c r="N573" t="s">
        <v>859</v>
      </c>
    </row>
    <row r="574" spans="1:14" x14ac:dyDescent="0.2">
      <c r="A574">
        <v>10716</v>
      </c>
      <c r="B574" t="s">
        <v>1267</v>
      </c>
      <c r="C574">
        <v>4</v>
      </c>
      <c r="D574" s="19">
        <v>35727</v>
      </c>
      <c r="E574" s="19">
        <v>35755</v>
      </c>
      <c r="F574" s="19">
        <v>35730</v>
      </c>
      <c r="G574">
        <v>2</v>
      </c>
      <c r="H574">
        <v>22.57</v>
      </c>
      <c r="I574" t="s">
        <v>1268</v>
      </c>
      <c r="J574" t="s">
        <v>1270</v>
      </c>
      <c r="K574" t="s">
        <v>857</v>
      </c>
      <c r="M574" t="s">
        <v>858</v>
      </c>
      <c r="N574" t="s">
        <v>859</v>
      </c>
    </row>
    <row r="575" spans="1:14" x14ac:dyDescent="0.2">
      <c r="A575">
        <v>10828</v>
      </c>
      <c r="B575" t="s">
        <v>1267</v>
      </c>
      <c r="C575">
        <v>9</v>
      </c>
      <c r="D575" s="19">
        <v>35808</v>
      </c>
      <c r="E575" s="19">
        <v>35822</v>
      </c>
      <c r="F575" s="19">
        <v>35830</v>
      </c>
      <c r="G575">
        <v>1</v>
      </c>
      <c r="H575">
        <v>90.85</v>
      </c>
      <c r="I575" t="s">
        <v>1268</v>
      </c>
      <c r="J575" t="s">
        <v>1270</v>
      </c>
      <c r="K575" t="s">
        <v>857</v>
      </c>
      <c r="M575" t="s">
        <v>858</v>
      </c>
      <c r="N575" t="s">
        <v>859</v>
      </c>
    </row>
    <row r="576" spans="1:14" x14ac:dyDescent="0.2">
      <c r="A576">
        <v>10916</v>
      </c>
      <c r="B576" t="s">
        <v>1267</v>
      </c>
      <c r="C576">
        <v>1</v>
      </c>
      <c r="D576" s="19">
        <v>35853</v>
      </c>
      <c r="E576" s="19">
        <v>35881</v>
      </c>
      <c r="F576" s="19">
        <v>35863</v>
      </c>
      <c r="G576">
        <v>2</v>
      </c>
      <c r="H576">
        <v>63.77</v>
      </c>
      <c r="I576" t="s">
        <v>1268</v>
      </c>
      <c r="J576" t="s">
        <v>1270</v>
      </c>
      <c r="K576" t="s">
        <v>857</v>
      </c>
      <c r="M576" t="s">
        <v>858</v>
      </c>
      <c r="N576" t="s">
        <v>859</v>
      </c>
    </row>
    <row r="577" spans="1:14" x14ac:dyDescent="0.2">
      <c r="A577">
        <v>11019</v>
      </c>
      <c r="B577" t="s">
        <v>1267</v>
      </c>
      <c r="C577">
        <v>6</v>
      </c>
      <c r="D577" s="19">
        <v>35898</v>
      </c>
      <c r="E577" s="19">
        <v>35926</v>
      </c>
      <c r="F577" s="19"/>
      <c r="G577">
        <v>3</v>
      </c>
      <c r="H577">
        <v>3.17</v>
      </c>
      <c r="I577" t="s">
        <v>1268</v>
      </c>
      <c r="J577" t="s">
        <v>1270</v>
      </c>
      <c r="K577" t="s">
        <v>857</v>
      </c>
      <c r="M577" t="s">
        <v>858</v>
      </c>
      <c r="N577" t="s">
        <v>859</v>
      </c>
    </row>
    <row r="578" spans="1:14" x14ac:dyDescent="0.2">
      <c r="A578">
        <v>10262</v>
      </c>
      <c r="B578" t="s">
        <v>1273</v>
      </c>
      <c r="C578">
        <v>8</v>
      </c>
      <c r="D578" s="19">
        <v>35268</v>
      </c>
      <c r="E578" s="19">
        <v>35296</v>
      </c>
      <c r="F578" s="19">
        <v>35271</v>
      </c>
      <c r="G578">
        <v>3</v>
      </c>
      <c r="H578">
        <v>48.29</v>
      </c>
      <c r="I578" t="s">
        <v>1274</v>
      </c>
      <c r="J578" t="s">
        <v>1277</v>
      </c>
      <c r="K578" t="s">
        <v>1278</v>
      </c>
      <c r="L578" t="s">
        <v>1279</v>
      </c>
      <c r="M578" t="s">
        <v>1280</v>
      </c>
      <c r="N578" t="s">
        <v>1018</v>
      </c>
    </row>
    <row r="579" spans="1:14" x14ac:dyDescent="0.2">
      <c r="A579">
        <v>10272</v>
      </c>
      <c r="B579" t="s">
        <v>1273</v>
      </c>
      <c r="C579">
        <v>6</v>
      </c>
      <c r="D579" s="19">
        <v>35279</v>
      </c>
      <c r="E579" s="19">
        <v>35307</v>
      </c>
      <c r="F579" s="19">
        <v>35283</v>
      </c>
      <c r="G579">
        <v>2</v>
      </c>
      <c r="H579">
        <v>98.03</v>
      </c>
      <c r="I579" t="s">
        <v>1274</v>
      </c>
      <c r="J579" t="s">
        <v>1277</v>
      </c>
      <c r="K579" t="s">
        <v>1278</v>
      </c>
      <c r="L579" t="s">
        <v>1279</v>
      </c>
      <c r="M579" t="s">
        <v>1280</v>
      </c>
      <c r="N579" t="s">
        <v>1018</v>
      </c>
    </row>
    <row r="580" spans="1:14" x14ac:dyDescent="0.2">
      <c r="A580">
        <v>10294</v>
      </c>
      <c r="B580" t="s">
        <v>1273</v>
      </c>
      <c r="C580">
        <v>4</v>
      </c>
      <c r="D580" s="19">
        <v>35307</v>
      </c>
      <c r="E580" s="19">
        <v>35335</v>
      </c>
      <c r="F580" s="19">
        <v>35313</v>
      </c>
      <c r="G580">
        <v>2</v>
      </c>
      <c r="H580">
        <v>147.26</v>
      </c>
      <c r="I580" t="s">
        <v>1274</v>
      </c>
      <c r="J580" t="s">
        <v>1277</v>
      </c>
      <c r="K580" t="s">
        <v>1278</v>
      </c>
      <c r="L580" t="s">
        <v>1279</v>
      </c>
      <c r="M580" t="s">
        <v>1280</v>
      </c>
      <c r="N580" t="s">
        <v>1018</v>
      </c>
    </row>
    <row r="581" spans="1:14" x14ac:dyDescent="0.2">
      <c r="A581">
        <v>10314</v>
      </c>
      <c r="B581" t="s">
        <v>1273</v>
      </c>
      <c r="C581">
        <v>1</v>
      </c>
      <c r="D581" s="19">
        <v>35333</v>
      </c>
      <c r="E581" s="19">
        <v>35361</v>
      </c>
      <c r="F581" s="19">
        <v>35342</v>
      </c>
      <c r="G581">
        <v>2</v>
      </c>
      <c r="H581">
        <v>74.16</v>
      </c>
      <c r="I581" t="s">
        <v>1274</v>
      </c>
      <c r="J581" t="s">
        <v>1277</v>
      </c>
      <c r="K581" t="s">
        <v>1278</v>
      </c>
      <c r="L581" t="s">
        <v>1279</v>
      </c>
      <c r="M581" t="s">
        <v>1280</v>
      </c>
      <c r="N581" t="s">
        <v>1018</v>
      </c>
    </row>
    <row r="582" spans="1:14" x14ac:dyDescent="0.2">
      <c r="A582">
        <v>10316</v>
      </c>
      <c r="B582" t="s">
        <v>1273</v>
      </c>
      <c r="C582">
        <v>1</v>
      </c>
      <c r="D582" s="19">
        <v>35335</v>
      </c>
      <c r="E582" s="19">
        <v>35363</v>
      </c>
      <c r="F582" s="19">
        <v>35346</v>
      </c>
      <c r="G582">
        <v>3</v>
      </c>
      <c r="H582">
        <v>150.15</v>
      </c>
      <c r="I582" t="s">
        <v>1274</v>
      </c>
      <c r="J582" t="s">
        <v>1277</v>
      </c>
      <c r="K582" t="s">
        <v>1278</v>
      </c>
      <c r="L582" t="s">
        <v>1279</v>
      </c>
      <c r="M582" t="s">
        <v>1280</v>
      </c>
      <c r="N582" t="s">
        <v>1018</v>
      </c>
    </row>
    <row r="583" spans="1:14" x14ac:dyDescent="0.2">
      <c r="A583">
        <v>10346</v>
      </c>
      <c r="B583" t="s">
        <v>1273</v>
      </c>
      <c r="C583">
        <v>3</v>
      </c>
      <c r="D583" s="19">
        <v>35374</v>
      </c>
      <c r="E583" s="19">
        <v>35416</v>
      </c>
      <c r="F583" s="19">
        <v>35377</v>
      </c>
      <c r="G583">
        <v>3</v>
      </c>
      <c r="H583">
        <v>142.08000000000001</v>
      </c>
      <c r="I583" t="s">
        <v>1274</v>
      </c>
      <c r="J583" t="s">
        <v>1277</v>
      </c>
      <c r="K583" t="s">
        <v>1278</v>
      </c>
      <c r="L583" t="s">
        <v>1279</v>
      </c>
      <c r="M583" t="s">
        <v>1280</v>
      </c>
      <c r="N583" t="s">
        <v>1018</v>
      </c>
    </row>
    <row r="584" spans="1:14" x14ac:dyDescent="0.2">
      <c r="A584">
        <v>10401</v>
      </c>
      <c r="B584" t="s">
        <v>1273</v>
      </c>
      <c r="C584">
        <v>1</v>
      </c>
      <c r="D584" s="19">
        <v>35431</v>
      </c>
      <c r="E584" s="19">
        <v>35459</v>
      </c>
      <c r="F584" s="19">
        <v>35440</v>
      </c>
      <c r="G584">
        <v>1</v>
      </c>
      <c r="H584">
        <v>12.51</v>
      </c>
      <c r="I584" t="s">
        <v>1274</v>
      </c>
      <c r="J584" t="s">
        <v>1277</v>
      </c>
      <c r="K584" t="s">
        <v>1278</v>
      </c>
      <c r="L584" t="s">
        <v>1279</v>
      </c>
      <c r="M584" t="s">
        <v>1280</v>
      </c>
      <c r="N584" t="s">
        <v>1018</v>
      </c>
    </row>
    <row r="585" spans="1:14" x14ac:dyDescent="0.2">
      <c r="A585">
        <v>10479</v>
      </c>
      <c r="B585" t="s">
        <v>1273</v>
      </c>
      <c r="C585">
        <v>3</v>
      </c>
      <c r="D585" s="19">
        <v>35508</v>
      </c>
      <c r="E585" s="19">
        <v>35536</v>
      </c>
      <c r="F585" s="19">
        <v>35510</v>
      </c>
      <c r="G585">
        <v>3</v>
      </c>
      <c r="H585">
        <v>708.95</v>
      </c>
      <c r="I585" t="s">
        <v>1274</v>
      </c>
      <c r="J585" t="s">
        <v>1277</v>
      </c>
      <c r="K585" t="s">
        <v>1278</v>
      </c>
      <c r="L585" t="s">
        <v>1279</v>
      </c>
      <c r="M585" t="s">
        <v>1280</v>
      </c>
      <c r="N585" t="s">
        <v>1018</v>
      </c>
    </row>
    <row r="586" spans="1:14" x14ac:dyDescent="0.2">
      <c r="A586">
        <v>10564</v>
      </c>
      <c r="B586" t="s">
        <v>1273</v>
      </c>
      <c r="C586">
        <v>4</v>
      </c>
      <c r="D586" s="19">
        <v>35591</v>
      </c>
      <c r="E586" s="19">
        <v>35619</v>
      </c>
      <c r="F586" s="19">
        <v>35597</v>
      </c>
      <c r="G586">
        <v>3</v>
      </c>
      <c r="H586">
        <v>13.75</v>
      </c>
      <c r="I586" t="s">
        <v>1274</v>
      </c>
      <c r="J586" t="s">
        <v>1277</v>
      </c>
      <c r="K586" t="s">
        <v>1278</v>
      </c>
      <c r="L586" t="s">
        <v>1279</v>
      </c>
      <c r="M586" t="s">
        <v>1280</v>
      </c>
      <c r="N586" t="s">
        <v>1018</v>
      </c>
    </row>
    <row r="587" spans="1:14" x14ac:dyDescent="0.2">
      <c r="A587">
        <v>10569</v>
      </c>
      <c r="B587" t="s">
        <v>1273</v>
      </c>
      <c r="C587">
        <v>5</v>
      </c>
      <c r="D587" s="19">
        <v>35597</v>
      </c>
      <c r="E587" s="19">
        <v>35625</v>
      </c>
      <c r="F587" s="19">
        <v>35622</v>
      </c>
      <c r="G587">
        <v>1</v>
      </c>
      <c r="H587">
        <v>58.98</v>
      </c>
      <c r="I587" t="s">
        <v>1274</v>
      </c>
      <c r="J587" t="s">
        <v>1277</v>
      </c>
      <c r="K587" t="s">
        <v>1278</v>
      </c>
      <c r="L587" t="s">
        <v>1279</v>
      </c>
      <c r="M587" t="s">
        <v>1280</v>
      </c>
      <c r="N587" t="s">
        <v>1018</v>
      </c>
    </row>
    <row r="588" spans="1:14" x14ac:dyDescent="0.2">
      <c r="A588">
        <v>10598</v>
      </c>
      <c r="B588" t="s">
        <v>1273</v>
      </c>
      <c r="C588">
        <v>1</v>
      </c>
      <c r="D588" s="19">
        <v>35625</v>
      </c>
      <c r="E588" s="19">
        <v>35653</v>
      </c>
      <c r="F588" s="19">
        <v>35629</v>
      </c>
      <c r="G588">
        <v>3</v>
      </c>
      <c r="H588">
        <v>44.42</v>
      </c>
      <c r="I588" t="s">
        <v>1274</v>
      </c>
      <c r="J588" t="s">
        <v>1277</v>
      </c>
      <c r="K588" t="s">
        <v>1278</v>
      </c>
      <c r="L588" t="s">
        <v>1279</v>
      </c>
      <c r="M588" t="s">
        <v>1280</v>
      </c>
      <c r="N588" t="s">
        <v>1018</v>
      </c>
    </row>
    <row r="589" spans="1:14" x14ac:dyDescent="0.2">
      <c r="A589">
        <v>10761</v>
      </c>
      <c r="B589" t="s">
        <v>1273</v>
      </c>
      <c r="C589">
        <v>5</v>
      </c>
      <c r="D589" s="19">
        <v>35766</v>
      </c>
      <c r="E589" s="19">
        <v>35794</v>
      </c>
      <c r="F589" s="19">
        <v>35772</v>
      </c>
      <c r="G589">
        <v>2</v>
      </c>
      <c r="H589">
        <v>18.66</v>
      </c>
      <c r="I589" t="s">
        <v>1274</v>
      </c>
      <c r="J589" t="s">
        <v>1277</v>
      </c>
      <c r="K589" t="s">
        <v>1278</v>
      </c>
      <c r="L589" t="s">
        <v>1279</v>
      </c>
      <c r="M589" t="s">
        <v>1280</v>
      </c>
      <c r="N589" t="s">
        <v>1018</v>
      </c>
    </row>
    <row r="590" spans="1:14" x14ac:dyDescent="0.2">
      <c r="A590">
        <v>10820</v>
      </c>
      <c r="B590" t="s">
        <v>1273</v>
      </c>
      <c r="C590">
        <v>3</v>
      </c>
      <c r="D590" s="19">
        <v>35802</v>
      </c>
      <c r="E590" s="19">
        <v>35830</v>
      </c>
      <c r="F590" s="19">
        <v>35808</v>
      </c>
      <c r="G590">
        <v>2</v>
      </c>
      <c r="H590">
        <v>37.520000000000003</v>
      </c>
      <c r="I590" t="s">
        <v>1274</v>
      </c>
      <c r="J590" t="s">
        <v>1277</v>
      </c>
      <c r="K590" t="s">
        <v>1278</v>
      </c>
      <c r="L590" t="s">
        <v>1279</v>
      </c>
      <c r="M590" t="s">
        <v>1280</v>
      </c>
      <c r="N590" t="s">
        <v>1018</v>
      </c>
    </row>
    <row r="591" spans="1:14" x14ac:dyDescent="0.2">
      <c r="A591">
        <v>10852</v>
      </c>
      <c r="B591" t="s">
        <v>1273</v>
      </c>
      <c r="C591">
        <v>8</v>
      </c>
      <c r="D591" s="19">
        <v>35821</v>
      </c>
      <c r="E591" s="19">
        <v>35835</v>
      </c>
      <c r="F591" s="19">
        <v>35825</v>
      </c>
      <c r="G591">
        <v>1</v>
      </c>
      <c r="H591">
        <v>174.05</v>
      </c>
      <c r="I591" t="s">
        <v>1274</v>
      </c>
      <c r="J591" t="s">
        <v>1277</v>
      </c>
      <c r="K591" t="s">
        <v>1278</v>
      </c>
      <c r="L591" t="s">
        <v>1279</v>
      </c>
      <c r="M591" t="s">
        <v>1280</v>
      </c>
      <c r="N591" t="s">
        <v>1018</v>
      </c>
    </row>
    <row r="592" spans="1:14" x14ac:dyDescent="0.2">
      <c r="A592">
        <v>10889</v>
      </c>
      <c r="B592" t="s">
        <v>1273</v>
      </c>
      <c r="C592">
        <v>9</v>
      </c>
      <c r="D592" s="19">
        <v>35842</v>
      </c>
      <c r="E592" s="19">
        <v>35870</v>
      </c>
      <c r="F592" s="19">
        <v>35849</v>
      </c>
      <c r="G592">
        <v>3</v>
      </c>
      <c r="H592">
        <v>280.61</v>
      </c>
      <c r="I592" t="s">
        <v>1274</v>
      </c>
      <c r="J592" t="s">
        <v>1277</v>
      </c>
      <c r="K592" t="s">
        <v>1278</v>
      </c>
      <c r="L592" t="s">
        <v>1279</v>
      </c>
      <c r="M592" t="s">
        <v>1280</v>
      </c>
      <c r="N592" t="s">
        <v>1018</v>
      </c>
    </row>
    <row r="593" spans="1:14" x14ac:dyDescent="0.2">
      <c r="A593">
        <v>10988</v>
      </c>
      <c r="B593" t="s">
        <v>1273</v>
      </c>
      <c r="C593">
        <v>3</v>
      </c>
      <c r="D593" s="19">
        <v>35885</v>
      </c>
      <c r="E593" s="19">
        <v>35913</v>
      </c>
      <c r="F593" s="19">
        <v>35895</v>
      </c>
      <c r="G593">
        <v>2</v>
      </c>
      <c r="H593">
        <v>61.14</v>
      </c>
      <c r="I593" t="s">
        <v>1274</v>
      </c>
      <c r="J593" t="s">
        <v>1277</v>
      </c>
      <c r="K593" t="s">
        <v>1278</v>
      </c>
      <c r="L593" t="s">
        <v>1279</v>
      </c>
      <c r="M593" t="s">
        <v>1280</v>
      </c>
      <c r="N593" t="s">
        <v>1018</v>
      </c>
    </row>
    <row r="594" spans="1:14" x14ac:dyDescent="0.2">
      <c r="A594">
        <v>11000</v>
      </c>
      <c r="B594" t="s">
        <v>1273</v>
      </c>
      <c r="C594">
        <v>2</v>
      </c>
      <c r="D594" s="19">
        <v>35891</v>
      </c>
      <c r="E594" s="19">
        <v>35919</v>
      </c>
      <c r="F594" s="19">
        <v>35899</v>
      </c>
      <c r="G594">
        <v>3</v>
      </c>
      <c r="H594">
        <v>55.12</v>
      </c>
      <c r="I594" t="s">
        <v>1274</v>
      </c>
      <c r="J594" t="s">
        <v>1277</v>
      </c>
      <c r="K594" t="s">
        <v>1278</v>
      </c>
      <c r="L594" t="s">
        <v>1279</v>
      </c>
      <c r="M594" t="s">
        <v>1280</v>
      </c>
      <c r="N594" t="s">
        <v>1018</v>
      </c>
    </row>
    <row r="595" spans="1:14" x14ac:dyDescent="0.2">
      <c r="A595">
        <v>11077</v>
      </c>
      <c r="B595" t="s">
        <v>1273</v>
      </c>
      <c r="C595">
        <v>1</v>
      </c>
      <c r="D595" s="19">
        <v>35921</v>
      </c>
      <c r="E595" s="19">
        <v>35949</v>
      </c>
      <c r="F595" s="19"/>
      <c r="G595">
        <v>2</v>
      </c>
      <c r="H595">
        <v>8.5299999999999994</v>
      </c>
      <c r="I595" t="s">
        <v>1274</v>
      </c>
      <c r="J595" t="s">
        <v>1277</v>
      </c>
      <c r="K595" t="s">
        <v>1278</v>
      </c>
      <c r="L595" t="s">
        <v>1279</v>
      </c>
      <c r="M595" t="s">
        <v>1280</v>
      </c>
      <c r="N595" t="s">
        <v>1018</v>
      </c>
    </row>
    <row r="596" spans="1:14" x14ac:dyDescent="0.2">
      <c r="A596">
        <v>10288</v>
      </c>
      <c r="B596" t="s">
        <v>1283</v>
      </c>
      <c r="C596">
        <v>4</v>
      </c>
      <c r="D596" s="19">
        <v>35300</v>
      </c>
      <c r="E596" s="19">
        <v>35328</v>
      </c>
      <c r="F596" s="19">
        <v>35311</v>
      </c>
      <c r="G596">
        <v>1</v>
      </c>
      <c r="H596">
        <v>7.45</v>
      </c>
      <c r="I596" t="s">
        <v>1284</v>
      </c>
      <c r="J596" t="s">
        <v>1286</v>
      </c>
      <c r="K596" t="s">
        <v>1287</v>
      </c>
      <c r="M596" t="s">
        <v>1288</v>
      </c>
      <c r="N596" t="s">
        <v>977</v>
      </c>
    </row>
    <row r="597" spans="1:14" x14ac:dyDescent="0.2">
      <c r="A597">
        <v>10428</v>
      </c>
      <c r="B597" t="s">
        <v>1283</v>
      </c>
      <c r="C597">
        <v>7</v>
      </c>
      <c r="D597" s="19">
        <v>35458</v>
      </c>
      <c r="E597" s="19">
        <v>35486</v>
      </c>
      <c r="F597" s="19">
        <v>35465</v>
      </c>
      <c r="G597">
        <v>1</v>
      </c>
      <c r="H597">
        <v>11.09</v>
      </c>
      <c r="I597" t="s">
        <v>1284</v>
      </c>
      <c r="J597" t="s">
        <v>1286</v>
      </c>
      <c r="K597" t="s">
        <v>1287</v>
      </c>
      <c r="M597" t="s">
        <v>1288</v>
      </c>
      <c r="N597" t="s">
        <v>977</v>
      </c>
    </row>
    <row r="598" spans="1:14" x14ac:dyDescent="0.2">
      <c r="A598">
        <v>10443</v>
      </c>
      <c r="B598" t="s">
        <v>1283</v>
      </c>
      <c r="C598">
        <v>8</v>
      </c>
      <c r="D598" s="19">
        <v>35473</v>
      </c>
      <c r="E598" s="19">
        <v>35501</v>
      </c>
      <c r="F598" s="19">
        <v>35475</v>
      </c>
      <c r="G598">
        <v>1</v>
      </c>
      <c r="H598">
        <v>13.95</v>
      </c>
      <c r="I598" t="s">
        <v>1284</v>
      </c>
      <c r="J598" t="s">
        <v>1286</v>
      </c>
      <c r="K598" t="s">
        <v>1287</v>
      </c>
      <c r="M598" t="s">
        <v>1288</v>
      </c>
      <c r="N598" t="s">
        <v>977</v>
      </c>
    </row>
    <row r="599" spans="1:14" x14ac:dyDescent="0.2">
      <c r="A599">
        <v>10562</v>
      </c>
      <c r="B599" t="s">
        <v>1283</v>
      </c>
      <c r="C599">
        <v>1</v>
      </c>
      <c r="D599" s="19">
        <v>35590</v>
      </c>
      <c r="E599" s="19">
        <v>35618</v>
      </c>
      <c r="F599" s="19">
        <v>35593</v>
      </c>
      <c r="G599">
        <v>1</v>
      </c>
      <c r="H599">
        <v>22.95</v>
      </c>
      <c r="I599" t="s">
        <v>1284</v>
      </c>
      <c r="J599" t="s">
        <v>1286</v>
      </c>
      <c r="K599" t="s">
        <v>1287</v>
      </c>
      <c r="M599" t="s">
        <v>1288</v>
      </c>
      <c r="N599" t="s">
        <v>977</v>
      </c>
    </row>
    <row r="600" spans="1:14" x14ac:dyDescent="0.2">
      <c r="A600">
        <v>10586</v>
      </c>
      <c r="B600" t="s">
        <v>1283</v>
      </c>
      <c r="C600">
        <v>9</v>
      </c>
      <c r="D600" s="19">
        <v>35613</v>
      </c>
      <c r="E600" s="19">
        <v>35641</v>
      </c>
      <c r="F600" s="19">
        <v>35620</v>
      </c>
      <c r="G600">
        <v>1</v>
      </c>
      <c r="H600">
        <v>0.48</v>
      </c>
      <c r="I600" t="s">
        <v>1284</v>
      </c>
      <c r="J600" t="s">
        <v>1286</v>
      </c>
      <c r="K600" t="s">
        <v>1287</v>
      </c>
      <c r="M600" t="s">
        <v>1288</v>
      </c>
      <c r="N600" t="s">
        <v>977</v>
      </c>
    </row>
    <row r="601" spans="1:14" x14ac:dyDescent="0.2">
      <c r="A601">
        <v>10655</v>
      </c>
      <c r="B601" t="s">
        <v>1283</v>
      </c>
      <c r="C601">
        <v>1</v>
      </c>
      <c r="D601" s="19">
        <v>35676</v>
      </c>
      <c r="E601" s="19">
        <v>35704</v>
      </c>
      <c r="F601" s="19">
        <v>35684</v>
      </c>
      <c r="G601">
        <v>2</v>
      </c>
      <c r="H601">
        <v>4.41</v>
      </c>
      <c r="I601" t="s">
        <v>1284</v>
      </c>
      <c r="J601" t="s">
        <v>1286</v>
      </c>
      <c r="K601" t="s">
        <v>1287</v>
      </c>
      <c r="M601" t="s">
        <v>1288</v>
      </c>
      <c r="N601" t="s">
        <v>977</v>
      </c>
    </row>
    <row r="602" spans="1:14" x14ac:dyDescent="0.2">
      <c r="A602">
        <v>10727</v>
      </c>
      <c r="B602" t="s">
        <v>1283</v>
      </c>
      <c r="C602">
        <v>2</v>
      </c>
      <c r="D602" s="19">
        <v>35737</v>
      </c>
      <c r="E602" s="19">
        <v>35765</v>
      </c>
      <c r="F602" s="19">
        <v>35769</v>
      </c>
      <c r="G602">
        <v>1</v>
      </c>
      <c r="H602">
        <v>89.9</v>
      </c>
      <c r="I602" t="s">
        <v>1284</v>
      </c>
      <c r="J602" t="s">
        <v>1286</v>
      </c>
      <c r="K602" t="s">
        <v>1287</v>
      </c>
      <c r="M602" t="s">
        <v>1288</v>
      </c>
      <c r="N602" t="s">
        <v>977</v>
      </c>
    </row>
    <row r="603" spans="1:14" x14ac:dyDescent="0.2">
      <c r="A603">
        <v>10812</v>
      </c>
      <c r="B603" t="s">
        <v>1283</v>
      </c>
      <c r="C603">
        <v>5</v>
      </c>
      <c r="D603" s="19">
        <v>35797</v>
      </c>
      <c r="E603" s="19">
        <v>35825</v>
      </c>
      <c r="F603" s="19">
        <v>35807</v>
      </c>
      <c r="G603">
        <v>1</v>
      </c>
      <c r="H603">
        <v>59.78</v>
      </c>
      <c r="I603" t="s">
        <v>1284</v>
      </c>
      <c r="J603" t="s">
        <v>1286</v>
      </c>
      <c r="K603" t="s">
        <v>1287</v>
      </c>
      <c r="M603" t="s">
        <v>1288</v>
      </c>
      <c r="N603" t="s">
        <v>977</v>
      </c>
    </row>
    <row r="604" spans="1:14" x14ac:dyDescent="0.2">
      <c r="A604">
        <v>10908</v>
      </c>
      <c r="B604" t="s">
        <v>1283</v>
      </c>
      <c r="C604">
        <v>4</v>
      </c>
      <c r="D604" s="19">
        <v>35852</v>
      </c>
      <c r="E604" s="19">
        <v>35880</v>
      </c>
      <c r="F604" s="19">
        <v>35860</v>
      </c>
      <c r="G604">
        <v>2</v>
      </c>
      <c r="H604">
        <v>32.96</v>
      </c>
      <c r="I604" t="s">
        <v>1284</v>
      </c>
      <c r="J604" t="s">
        <v>1286</v>
      </c>
      <c r="K604" t="s">
        <v>1287</v>
      </c>
      <c r="M604" t="s">
        <v>1288</v>
      </c>
      <c r="N604" t="s">
        <v>977</v>
      </c>
    </row>
    <row r="605" spans="1:14" x14ac:dyDescent="0.2">
      <c r="A605">
        <v>10942</v>
      </c>
      <c r="B605" t="s">
        <v>1283</v>
      </c>
      <c r="C605">
        <v>9</v>
      </c>
      <c r="D605" s="19">
        <v>35865</v>
      </c>
      <c r="E605" s="19">
        <v>35893</v>
      </c>
      <c r="F605" s="19">
        <v>35872</v>
      </c>
      <c r="G605">
        <v>3</v>
      </c>
      <c r="H605">
        <v>17.95</v>
      </c>
      <c r="I605" t="s">
        <v>1284</v>
      </c>
      <c r="J605" t="s">
        <v>1286</v>
      </c>
      <c r="K605" t="s">
        <v>1287</v>
      </c>
      <c r="M605" t="s">
        <v>1288</v>
      </c>
      <c r="N605" t="s">
        <v>977</v>
      </c>
    </row>
    <row r="606" spans="1:14" x14ac:dyDescent="0.2">
      <c r="A606">
        <v>11010</v>
      </c>
      <c r="B606" t="s">
        <v>1283</v>
      </c>
      <c r="C606">
        <v>2</v>
      </c>
      <c r="D606" s="19">
        <v>35894</v>
      </c>
      <c r="E606" s="19">
        <v>35922</v>
      </c>
      <c r="F606" s="19">
        <v>35906</v>
      </c>
      <c r="G606">
        <v>2</v>
      </c>
      <c r="H606">
        <v>28.71</v>
      </c>
      <c r="I606" t="s">
        <v>1284</v>
      </c>
      <c r="J606" t="s">
        <v>1286</v>
      </c>
      <c r="K606" t="s">
        <v>1287</v>
      </c>
      <c r="M606" t="s">
        <v>1288</v>
      </c>
      <c r="N606" t="s">
        <v>977</v>
      </c>
    </row>
    <row r="607" spans="1:14" x14ac:dyDescent="0.2">
      <c r="A607">
        <v>11062</v>
      </c>
      <c r="B607" t="s">
        <v>1283</v>
      </c>
      <c r="C607">
        <v>4</v>
      </c>
      <c r="D607" s="19">
        <v>35915</v>
      </c>
      <c r="E607" s="19">
        <v>35943</v>
      </c>
      <c r="F607" s="19"/>
      <c r="G607">
        <v>2</v>
      </c>
      <c r="H607">
        <v>29.93</v>
      </c>
      <c r="I607" t="s">
        <v>1284</v>
      </c>
      <c r="J607" t="s">
        <v>1286</v>
      </c>
      <c r="K607" t="s">
        <v>1287</v>
      </c>
      <c r="M607" t="s">
        <v>1288</v>
      </c>
      <c r="N607" t="s">
        <v>977</v>
      </c>
    </row>
    <row r="608" spans="1:14" x14ac:dyDescent="0.2">
      <c r="A608">
        <v>10287</v>
      </c>
      <c r="B608" t="s">
        <v>1291</v>
      </c>
      <c r="C608">
        <v>8</v>
      </c>
      <c r="D608" s="19">
        <v>35299</v>
      </c>
      <c r="E608" s="19">
        <v>35327</v>
      </c>
      <c r="F608" s="19">
        <v>35305</v>
      </c>
      <c r="G608">
        <v>3</v>
      </c>
      <c r="H608">
        <v>12.76</v>
      </c>
      <c r="I608" t="s">
        <v>1292</v>
      </c>
      <c r="J608" t="s">
        <v>1294</v>
      </c>
      <c r="K608" t="s">
        <v>1034</v>
      </c>
      <c r="L608" t="s">
        <v>1035</v>
      </c>
      <c r="M608" t="s">
        <v>1295</v>
      </c>
      <c r="N608" t="s">
        <v>885</v>
      </c>
    </row>
    <row r="609" spans="1:14" x14ac:dyDescent="0.2">
      <c r="A609">
        <v>10299</v>
      </c>
      <c r="B609" t="s">
        <v>1291</v>
      </c>
      <c r="C609">
        <v>4</v>
      </c>
      <c r="D609" s="19">
        <v>35314</v>
      </c>
      <c r="E609" s="19">
        <v>35342</v>
      </c>
      <c r="F609" s="19">
        <v>35321</v>
      </c>
      <c r="G609">
        <v>2</v>
      </c>
      <c r="H609">
        <v>29.76</v>
      </c>
      <c r="I609" t="s">
        <v>1292</v>
      </c>
      <c r="J609" t="s">
        <v>1294</v>
      </c>
      <c r="K609" t="s">
        <v>1034</v>
      </c>
      <c r="L609" t="s">
        <v>1035</v>
      </c>
      <c r="M609" t="s">
        <v>1295</v>
      </c>
      <c r="N609" t="s">
        <v>885</v>
      </c>
    </row>
    <row r="610" spans="1:14" x14ac:dyDescent="0.2">
      <c r="A610">
        <v>10447</v>
      </c>
      <c r="B610" t="s">
        <v>1291</v>
      </c>
      <c r="C610">
        <v>4</v>
      </c>
      <c r="D610" s="19">
        <v>35475</v>
      </c>
      <c r="E610" s="19">
        <v>35503</v>
      </c>
      <c r="F610" s="19">
        <v>35496</v>
      </c>
      <c r="G610">
        <v>2</v>
      </c>
      <c r="H610">
        <v>68.66</v>
      </c>
      <c r="I610" t="s">
        <v>1292</v>
      </c>
      <c r="J610" t="s">
        <v>1294</v>
      </c>
      <c r="K610" t="s">
        <v>1034</v>
      </c>
      <c r="L610" t="s">
        <v>1035</v>
      </c>
      <c r="M610" t="s">
        <v>1295</v>
      </c>
      <c r="N610" t="s">
        <v>885</v>
      </c>
    </row>
    <row r="611" spans="1:14" x14ac:dyDescent="0.2">
      <c r="A611">
        <v>10481</v>
      </c>
      <c r="B611" t="s">
        <v>1291</v>
      </c>
      <c r="C611">
        <v>8</v>
      </c>
      <c r="D611" s="19">
        <v>35509</v>
      </c>
      <c r="E611" s="19">
        <v>35537</v>
      </c>
      <c r="F611" s="19">
        <v>35514</v>
      </c>
      <c r="G611">
        <v>2</v>
      </c>
      <c r="H611">
        <v>64.33</v>
      </c>
      <c r="I611" t="s">
        <v>1292</v>
      </c>
      <c r="J611" t="s">
        <v>1294</v>
      </c>
      <c r="K611" t="s">
        <v>1034</v>
      </c>
      <c r="L611" t="s">
        <v>1035</v>
      </c>
      <c r="M611" t="s">
        <v>1295</v>
      </c>
      <c r="N611" t="s">
        <v>885</v>
      </c>
    </row>
    <row r="612" spans="1:14" x14ac:dyDescent="0.2">
      <c r="A612">
        <v>10563</v>
      </c>
      <c r="B612" t="s">
        <v>1291</v>
      </c>
      <c r="C612">
        <v>2</v>
      </c>
      <c r="D612" s="19">
        <v>35591</v>
      </c>
      <c r="E612" s="19">
        <v>35633</v>
      </c>
      <c r="F612" s="19">
        <v>35605</v>
      </c>
      <c r="G612">
        <v>2</v>
      </c>
      <c r="H612">
        <v>60.43</v>
      </c>
      <c r="I612" t="s">
        <v>1292</v>
      </c>
      <c r="J612" t="s">
        <v>1294</v>
      </c>
      <c r="K612" t="s">
        <v>1034</v>
      </c>
      <c r="L612" t="s">
        <v>1035</v>
      </c>
      <c r="M612" t="s">
        <v>1295</v>
      </c>
      <c r="N612" t="s">
        <v>885</v>
      </c>
    </row>
    <row r="613" spans="1:14" x14ac:dyDescent="0.2">
      <c r="A613">
        <v>10622</v>
      </c>
      <c r="B613" t="s">
        <v>1291</v>
      </c>
      <c r="C613">
        <v>4</v>
      </c>
      <c r="D613" s="19">
        <v>35648</v>
      </c>
      <c r="E613" s="19">
        <v>35676</v>
      </c>
      <c r="F613" s="19">
        <v>35653</v>
      </c>
      <c r="G613">
        <v>3</v>
      </c>
      <c r="H613">
        <v>50.97</v>
      </c>
      <c r="I613" t="s">
        <v>1292</v>
      </c>
      <c r="J613" t="s">
        <v>1294</v>
      </c>
      <c r="K613" t="s">
        <v>1034</v>
      </c>
      <c r="L613" t="s">
        <v>1035</v>
      </c>
      <c r="M613" t="s">
        <v>1295</v>
      </c>
      <c r="N613" t="s">
        <v>885</v>
      </c>
    </row>
    <row r="614" spans="1:14" x14ac:dyDescent="0.2">
      <c r="A614">
        <v>10648</v>
      </c>
      <c r="B614" t="s">
        <v>1291</v>
      </c>
      <c r="C614">
        <v>5</v>
      </c>
      <c r="D614" s="19">
        <v>35670</v>
      </c>
      <c r="E614" s="19">
        <v>35712</v>
      </c>
      <c r="F614" s="19">
        <v>35682</v>
      </c>
      <c r="G614">
        <v>2</v>
      </c>
      <c r="H614">
        <v>14.25</v>
      </c>
      <c r="I614" t="s">
        <v>1292</v>
      </c>
      <c r="J614" t="s">
        <v>1294</v>
      </c>
      <c r="K614" t="s">
        <v>1034</v>
      </c>
      <c r="L614" t="s">
        <v>1035</v>
      </c>
      <c r="M614" t="s">
        <v>1295</v>
      </c>
      <c r="N614" t="s">
        <v>885</v>
      </c>
    </row>
    <row r="615" spans="1:14" x14ac:dyDescent="0.2">
      <c r="A615">
        <v>10813</v>
      </c>
      <c r="B615" t="s">
        <v>1291</v>
      </c>
      <c r="C615">
        <v>1</v>
      </c>
      <c r="D615" s="19">
        <v>35800</v>
      </c>
      <c r="E615" s="19">
        <v>35828</v>
      </c>
      <c r="F615" s="19">
        <v>35804</v>
      </c>
      <c r="G615">
        <v>1</v>
      </c>
      <c r="H615">
        <v>47.38</v>
      </c>
      <c r="I615" t="s">
        <v>1292</v>
      </c>
      <c r="J615" t="s">
        <v>1294</v>
      </c>
      <c r="K615" t="s">
        <v>1034</v>
      </c>
      <c r="L615" t="s">
        <v>1035</v>
      </c>
      <c r="M615" t="s">
        <v>1295</v>
      </c>
      <c r="N615" t="s">
        <v>885</v>
      </c>
    </row>
    <row r="616" spans="1:14" x14ac:dyDescent="0.2">
      <c r="A616">
        <v>10851</v>
      </c>
      <c r="B616" t="s">
        <v>1291</v>
      </c>
      <c r="C616">
        <v>5</v>
      </c>
      <c r="D616" s="19">
        <v>35821</v>
      </c>
      <c r="E616" s="19">
        <v>35849</v>
      </c>
      <c r="F616" s="19">
        <v>35828</v>
      </c>
      <c r="G616">
        <v>1</v>
      </c>
      <c r="H616">
        <v>160.55000000000001</v>
      </c>
      <c r="I616" t="s">
        <v>1292</v>
      </c>
      <c r="J616" t="s">
        <v>1294</v>
      </c>
      <c r="K616" t="s">
        <v>1034</v>
      </c>
      <c r="L616" t="s">
        <v>1035</v>
      </c>
      <c r="M616" t="s">
        <v>1295</v>
      </c>
      <c r="N616" t="s">
        <v>885</v>
      </c>
    </row>
    <row r="617" spans="1:14" x14ac:dyDescent="0.2">
      <c r="A617">
        <v>10877</v>
      </c>
      <c r="B617" t="s">
        <v>1291</v>
      </c>
      <c r="C617">
        <v>1</v>
      </c>
      <c r="D617" s="19">
        <v>35835</v>
      </c>
      <c r="E617" s="19">
        <v>35863</v>
      </c>
      <c r="F617" s="19">
        <v>35845</v>
      </c>
      <c r="G617">
        <v>1</v>
      </c>
      <c r="H617">
        <v>38.06</v>
      </c>
      <c r="I617" t="s">
        <v>1292</v>
      </c>
      <c r="J617" t="s">
        <v>1294</v>
      </c>
      <c r="K617" t="s">
        <v>1034</v>
      </c>
      <c r="L617" t="s">
        <v>1035</v>
      </c>
      <c r="M617" t="s">
        <v>1295</v>
      </c>
      <c r="N617" t="s">
        <v>885</v>
      </c>
    </row>
    <row r="618" spans="1:14" x14ac:dyDescent="0.2">
      <c r="A618">
        <v>11059</v>
      </c>
      <c r="B618" t="s">
        <v>1291</v>
      </c>
      <c r="C618">
        <v>2</v>
      </c>
      <c r="D618" s="19">
        <v>35914</v>
      </c>
      <c r="E618" s="19">
        <v>35956</v>
      </c>
      <c r="F618" s="19"/>
      <c r="G618">
        <v>2</v>
      </c>
      <c r="H618">
        <v>85.8</v>
      </c>
      <c r="I618" t="s">
        <v>1292</v>
      </c>
      <c r="J618" t="s">
        <v>1294</v>
      </c>
      <c r="K618" t="s">
        <v>1034</v>
      </c>
      <c r="L618" t="s">
        <v>1035</v>
      </c>
      <c r="M618" t="s">
        <v>1295</v>
      </c>
      <c r="N618" t="s">
        <v>885</v>
      </c>
    </row>
    <row r="619" spans="1:14" x14ac:dyDescent="0.2">
      <c r="A619">
        <v>10255</v>
      </c>
      <c r="B619" t="s">
        <v>1297</v>
      </c>
      <c r="C619">
        <v>9</v>
      </c>
      <c r="D619" s="19">
        <v>35258</v>
      </c>
      <c r="E619" s="19">
        <v>35286</v>
      </c>
      <c r="F619" s="19">
        <v>35261</v>
      </c>
      <c r="G619">
        <v>3</v>
      </c>
      <c r="H619">
        <v>148.33000000000001</v>
      </c>
      <c r="I619" t="s">
        <v>1298</v>
      </c>
      <c r="J619" t="s">
        <v>1496</v>
      </c>
      <c r="K619" t="s">
        <v>1301</v>
      </c>
      <c r="M619" t="s">
        <v>1497</v>
      </c>
      <c r="N619" t="s">
        <v>875</v>
      </c>
    </row>
    <row r="620" spans="1:14" x14ac:dyDescent="0.2">
      <c r="A620">
        <v>10419</v>
      </c>
      <c r="B620" t="s">
        <v>1297</v>
      </c>
      <c r="C620">
        <v>4</v>
      </c>
      <c r="D620" s="19">
        <v>35450</v>
      </c>
      <c r="E620" s="19">
        <v>35478</v>
      </c>
      <c r="F620" s="19">
        <v>35460</v>
      </c>
      <c r="G620">
        <v>2</v>
      </c>
      <c r="H620">
        <v>137.35</v>
      </c>
      <c r="I620" t="s">
        <v>1298</v>
      </c>
      <c r="J620" t="s">
        <v>1496</v>
      </c>
      <c r="K620" t="s">
        <v>1301</v>
      </c>
      <c r="M620" t="s">
        <v>1497</v>
      </c>
      <c r="N620" t="s">
        <v>875</v>
      </c>
    </row>
    <row r="621" spans="1:14" x14ac:dyDescent="0.2">
      <c r="A621">
        <v>10537</v>
      </c>
      <c r="B621" t="s">
        <v>1297</v>
      </c>
      <c r="C621">
        <v>1</v>
      </c>
      <c r="D621" s="19">
        <v>35564</v>
      </c>
      <c r="E621" s="19">
        <v>35578</v>
      </c>
      <c r="F621" s="19">
        <v>35569</v>
      </c>
      <c r="G621">
        <v>1</v>
      </c>
      <c r="H621">
        <v>78.849999999999994</v>
      </c>
      <c r="I621" t="s">
        <v>1298</v>
      </c>
      <c r="J621" t="s">
        <v>1496</v>
      </c>
      <c r="K621" t="s">
        <v>1301</v>
      </c>
      <c r="M621" t="s">
        <v>1497</v>
      </c>
      <c r="N621" t="s">
        <v>875</v>
      </c>
    </row>
    <row r="622" spans="1:14" x14ac:dyDescent="0.2">
      <c r="A622">
        <v>10666</v>
      </c>
      <c r="B622" t="s">
        <v>1297</v>
      </c>
      <c r="C622">
        <v>7</v>
      </c>
      <c r="D622" s="19">
        <v>35685</v>
      </c>
      <c r="E622" s="19">
        <v>35713</v>
      </c>
      <c r="F622" s="19">
        <v>35695</v>
      </c>
      <c r="G622">
        <v>2</v>
      </c>
      <c r="H622">
        <v>232.42</v>
      </c>
      <c r="I622" t="s">
        <v>1298</v>
      </c>
      <c r="J622" t="s">
        <v>1496</v>
      </c>
      <c r="K622" t="s">
        <v>1301</v>
      </c>
      <c r="M622" t="s">
        <v>1497</v>
      </c>
      <c r="N622" t="s">
        <v>875</v>
      </c>
    </row>
    <row r="623" spans="1:14" x14ac:dyDescent="0.2">
      <c r="A623">
        <v>10751</v>
      </c>
      <c r="B623" t="s">
        <v>1297</v>
      </c>
      <c r="C623">
        <v>3</v>
      </c>
      <c r="D623" s="19">
        <v>35758</v>
      </c>
      <c r="E623" s="19">
        <v>35786</v>
      </c>
      <c r="F623" s="19">
        <v>35767</v>
      </c>
      <c r="G623">
        <v>3</v>
      </c>
      <c r="H623">
        <v>130.79</v>
      </c>
      <c r="I623" t="s">
        <v>1298</v>
      </c>
      <c r="J623" t="s">
        <v>1496</v>
      </c>
      <c r="K623" t="s">
        <v>1301</v>
      </c>
      <c r="M623" t="s">
        <v>1497</v>
      </c>
      <c r="N623" t="s">
        <v>875</v>
      </c>
    </row>
    <row r="624" spans="1:14" x14ac:dyDescent="0.2">
      <c r="A624">
        <v>10758</v>
      </c>
      <c r="B624" t="s">
        <v>1297</v>
      </c>
      <c r="C624">
        <v>3</v>
      </c>
      <c r="D624" s="19">
        <v>35762</v>
      </c>
      <c r="E624" s="19">
        <v>35790</v>
      </c>
      <c r="F624" s="19">
        <v>35768</v>
      </c>
      <c r="G624">
        <v>3</v>
      </c>
      <c r="H624">
        <v>138.16999999999999</v>
      </c>
      <c r="I624" t="s">
        <v>1298</v>
      </c>
      <c r="J624" t="s">
        <v>1496</v>
      </c>
      <c r="K624" t="s">
        <v>1301</v>
      </c>
      <c r="M624" t="s">
        <v>1497</v>
      </c>
      <c r="N624" t="s">
        <v>875</v>
      </c>
    </row>
    <row r="625" spans="1:14" x14ac:dyDescent="0.2">
      <c r="A625">
        <v>10931</v>
      </c>
      <c r="B625" t="s">
        <v>1297</v>
      </c>
      <c r="C625">
        <v>4</v>
      </c>
      <c r="D625" s="19">
        <v>35860</v>
      </c>
      <c r="E625" s="19">
        <v>35874</v>
      </c>
      <c r="F625" s="19">
        <v>35873</v>
      </c>
      <c r="G625">
        <v>2</v>
      </c>
      <c r="H625">
        <v>13.6</v>
      </c>
      <c r="I625" t="s">
        <v>1298</v>
      </c>
      <c r="J625" t="s">
        <v>1496</v>
      </c>
      <c r="K625" t="s">
        <v>1301</v>
      </c>
      <c r="M625" t="s">
        <v>1497</v>
      </c>
      <c r="N625" t="s">
        <v>875</v>
      </c>
    </row>
    <row r="626" spans="1:14" x14ac:dyDescent="0.2">
      <c r="A626">
        <v>10951</v>
      </c>
      <c r="B626" t="s">
        <v>1297</v>
      </c>
      <c r="C626">
        <v>9</v>
      </c>
      <c r="D626" s="19">
        <v>35870</v>
      </c>
      <c r="E626" s="19">
        <v>35912</v>
      </c>
      <c r="F626" s="19">
        <v>35892</v>
      </c>
      <c r="G626">
        <v>2</v>
      </c>
      <c r="H626">
        <v>30.85</v>
      </c>
      <c r="I626" t="s">
        <v>1298</v>
      </c>
      <c r="J626" t="s">
        <v>1496</v>
      </c>
      <c r="K626" t="s">
        <v>1301</v>
      </c>
      <c r="M626" t="s">
        <v>1497</v>
      </c>
      <c r="N626" t="s">
        <v>875</v>
      </c>
    </row>
    <row r="627" spans="1:14" x14ac:dyDescent="0.2">
      <c r="A627">
        <v>11033</v>
      </c>
      <c r="B627" t="s">
        <v>1297</v>
      </c>
      <c r="C627">
        <v>7</v>
      </c>
      <c r="D627" s="19">
        <v>35902</v>
      </c>
      <c r="E627" s="19">
        <v>35930</v>
      </c>
      <c r="F627" s="19">
        <v>35908</v>
      </c>
      <c r="G627">
        <v>3</v>
      </c>
      <c r="H627">
        <v>84.74</v>
      </c>
      <c r="I627" t="s">
        <v>1298</v>
      </c>
      <c r="J627" t="s">
        <v>1496</v>
      </c>
      <c r="K627" t="s">
        <v>1301</v>
      </c>
      <c r="M627" t="s">
        <v>1497</v>
      </c>
      <c r="N627" t="s">
        <v>875</v>
      </c>
    </row>
    <row r="628" spans="1:14" x14ac:dyDescent="0.2">
      <c r="A628">
        <v>11075</v>
      </c>
      <c r="B628" t="s">
        <v>1297</v>
      </c>
      <c r="C628">
        <v>8</v>
      </c>
      <c r="D628" s="19">
        <v>35921</v>
      </c>
      <c r="E628" s="19">
        <v>35949</v>
      </c>
      <c r="F628" s="19"/>
      <c r="G628">
        <v>2</v>
      </c>
      <c r="H628">
        <v>6.19</v>
      </c>
      <c r="I628" t="s">
        <v>1298</v>
      </c>
      <c r="J628" t="s">
        <v>1496</v>
      </c>
      <c r="K628" t="s">
        <v>1301</v>
      </c>
      <c r="M628" t="s">
        <v>1497</v>
      </c>
      <c r="N628" t="s">
        <v>875</v>
      </c>
    </row>
    <row r="629" spans="1:14" x14ac:dyDescent="0.2">
      <c r="A629">
        <v>10281</v>
      </c>
      <c r="B629" t="s">
        <v>1304</v>
      </c>
      <c r="C629">
        <v>4</v>
      </c>
      <c r="D629" s="19">
        <v>35291</v>
      </c>
      <c r="E629" s="19">
        <v>35305</v>
      </c>
      <c r="F629" s="19">
        <v>35298</v>
      </c>
      <c r="G629">
        <v>1</v>
      </c>
      <c r="H629">
        <v>2.94</v>
      </c>
      <c r="I629" t="s">
        <v>1305</v>
      </c>
      <c r="J629" t="s">
        <v>1307</v>
      </c>
      <c r="K629" t="s">
        <v>822</v>
      </c>
      <c r="M629" t="s">
        <v>1308</v>
      </c>
      <c r="N629" t="s">
        <v>824</v>
      </c>
    </row>
    <row r="630" spans="1:14" x14ac:dyDescent="0.2">
      <c r="A630">
        <v>10282</v>
      </c>
      <c r="B630" t="s">
        <v>1304</v>
      </c>
      <c r="C630">
        <v>4</v>
      </c>
      <c r="D630" s="19">
        <v>35292</v>
      </c>
      <c r="E630" s="19">
        <v>35320</v>
      </c>
      <c r="F630" s="19">
        <v>35298</v>
      </c>
      <c r="G630">
        <v>1</v>
      </c>
      <c r="H630">
        <v>12.69</v>
      </c>
      <c r="I630" t="s">
        <v>1305</v>
      </c>
      <c r="J630" t="s">
        <v>1307</v>
      </c>
      <c r="K630" t="s">
        <v>822</v>
      </c>
      <c r="M630" t="s">
        <v>1308</v>
      </c>
      <c r="N630" t="s">
        <v>824</v>
      </c>
    </row>
    <row r="631" spans="1:14" x14ac:dyDescent="0.2">
      <c r="A631">
        <v>10306</v>
      </c>
      <c r="B631" t="s">
        <v>1304</v>
      </c>
      <c r="C631">
        <v>1</v>
      </c>
      <c r="D631" s="19">
        <v>35324</v>
      </c>
      <c r="E631" s="19">
        <v>35352</v>
      </c>
      <c r="F631" s="19">
        <v>35331</v>
      </c>
      <c r="G631">
        <v>3</v>
      </c>
      <c r="H631">
        <v>7.56</v>
      </c>
      <c r="I631" t="s">
        <v>1305</v>
      </c>
      <c r="J631" t="s">
        <v>1307</v>
      </c>
      <c r="K631" t="s">
        <v>822</v>
      </c>
      <c r="M631" t="s">
        <v>1308</v>
      </c>
      <c r="N631" t="s">
        <v>824</v>
      </c>
    </row>
    <row r="632" spans="1:14" x14ac:dyDescent="0.2">
      <c r="A632">
        <v>10917</v>
      </c>
      <c r="B632" t="s">
        <v>1304</v>
      </c>
      <c r="C632">
        <v>4</v>
      </c>
      <c r="D632" s="19">
        <v>35856</v>
      </c>
      <c r="E632" s="19">
        <v>35884</v>
      </c>
      <c r="F632" s="19">
        <v>35865</v>
      </c>
      <c r="G632">
        <v>2</v>
      </c>
      <c r="H632">
        <v>8.2899999999999991</v>
      </c>
      <c r="I632" t="s">
        <v>1305</v>
      </c>
      <c r="J632" t="s">
        <v>1307</v>
      </c>
      <c r="K632" t="s">
        <v>822</v>
      </c>
      <c r="M632" t="s">
        <v>1308</v>
      </c>
      <c r="N632" t="s">
        <v>824</v>
      </c>
    </row>
    <row r="633" spans="1:14" x14ac:dyDescent="0.2">
      <c r="A633">
        <v>11013</v>
      </c>
      <c r="B633" t="s">
        <v>1304</v>
      </c>
      <c r="C633">
        <v>2</v>
      </c>
      <c r="D633" s="19">
        <v>35894</v>
      </c>
      <c r="E633" s="19">
        <v>35922</v>
      </c>
      <c r="F633" s="19">
        <v>35895</v>
      </c>
      <c r="G633">
        <v>1</v>
      </c>
      <c r="H633">
        <v>32.99</v>
      </c>
      <c r="I633" t="s">
        <v>1305</v>
      </c>
      <c r="J633" t="s">
        <v>1307</v>
      </c>
      <c r="K633" t="s">
        <v>822</v>
      </c>
      <c r="M633" t="s">
        <v>1308</v>
      </c>
      <c r="N633" t="s">
        <v>824</v>
      </c>
    </row>
    <row r="634" spans="1:14" x14ac:dyDescent="0.2">
      <c r="A634">
        <v>10387</v>
      </c>
      <c r="B634" t="s">
        <v>1311</v>
      </c>
      <c r="C634">
        <v>1</v>
      </c>
      <c r="D634" s="19">
        <v>35417</v>
      </c>
      <c r="E634" s="19">
        <v>35445</v>
      </c>
      <c r="F634" s="19">
        <v>35419</v>
      </c>
      <c r="G634">
        <v>2</v>
      </c>
      <c r="H634">
        <v>93.63</v>
      </c>
      <c r="I634" t="s">
        <v>1312</v>
      </c>
      <c r="J634" t="s">
        <v>1314</v>
      </c>
      <c r="K634" t="s">
        <v>1315</v>
      </c>
      <c r="M634" t="s">
        <v>1316</v>
      </c>
      <c r="N634" t="s">
        <v>1317</v>
      </c>
    </row>
    <row r="635" spans="1:14" x14ac:dyDescent="0.2">
      <c r="A635">
        <v>10520</v>
      </c>
      <c r="B635" t="s">
        <v>1311</v>
      </c>
      <c r="C635">
        <v>7</v>
      </c>
      <c r="D635" s="19">
        <v>35549</v>
      </c>
      <c r="E635" s="19">
        <v>35577</v>
      </c>
      <c r="F635" s="19">
        <v>35551</v>
      </c>
      <c r="G635">
        <v>1</v>
      </c>
      <c r="H635">
        <v>13.37</v>
      </c>
      <c r="I635" t="s">
        <v>1312</v>
      </c>
      <c r="J635" t="s">
        <v>1314</v>
      </c>
      <c r="K635" t="s">
        <v>1315</v>
      </c>
      <c r="M635" t="s">
        <v>1316</v>
      </c>
      <c r="N635" t="s">
        <v>1317</v>
      </c>
    </row>
    <row r="636" spans="1:14" x14ac:dyDescent="0.2">
      <c r="A636">
        <v>10639</v>
      </c>
      <c r="B636" t="s">
        <v>1311</v>
      </c>
      <c r="C636">
        <v>7</v>
      </c>
      <c r="D636" s="19">
        <v>35662</v>
      </c>
      <c r="E636" s="19">
        <v>35690</v>
      </c>
      <c r="F636" s="19">
        <v>35669</v>
      </c>
      <c r="G636">
        <v>3</v>
      </c>
      <c r="H636">
        <v>38.64</v>
      </c>
      <c r="I636" t="s">
        <v>1312</v>
      </c>
      <c r="J636" t="s">
        <v>1314</v>
      </c>
      <c r="K636" t="s">
        <v>1315</v>
      </c>
      <c r="M636" t="s">
        <v>1316</v>
      </c>
      <c r="N636" t="s">
        <v>1317</v>
      </c>
    </row>
    <row r="637" spans="1:14" x14ac:dyDescent="0.2">
      <c r="A637">
        <v>10831</v>
      </c>
      <c r="B637" t="s">
        <v>1311</v>
      </c>
      <c r="C637">
        <v>3</v>
      </c>
      <c r="D637" s="19">
        <v>35809</v>
      </c>
      <c r="E637" s="19">
        <v>35837</v>
      </c>
      <c r="F637" s="19">
        <v>35818</v>
      </c>
      <c r="G637">
        <v>2</v>
      </c>
      <c r="H637">
        <v>72.19</v>
      </c>
      <c r="I637" t="s">
        <v>1312</v>
      </c>
      <c r="J637" t="s">
        <v>1314</v>
      </c>
      <c r="K637" t="s">
        <v>1315</v>
      </c>
      <c r="M637" t="s">
        <v>1316</v>
      </c>
      <c r="N637" t="s">
        <v>1317</v>
      </c>
    </row>
    <row r="638" spans="1:14" x14ac:dyDescent="0.2">
      <c r="A638">
        <v>10909</v>
      </c>
      <c r="B638" t="s">
        <v>1311</v>
      </c>
      <c r="C638">
        <v>1</v>
      </c>
      <c r="D638" s="19">
        <v>35852</v>
      </c>
      <c r="E638" s="19">
        <v>35880</v>
      </c>
      <c r="F638" s="19">
        <v>35864</v>
      </c>
      <c r="G638">
        <v>2</v>
      </c>
      <c r="H638">
        <v>53.05</v>
      </c>
      <c r="I638" t="s">
        <v>1312</v>
      </c>
      <c r="J638" t="s">
        <v>1314</v>
      </c>
      <c r="K638" t="s">
        <v>1315</v>
      </c>
      <c r="M638" t="s">
        <v>1316</v>
      </c>
      <c r="N638" t="s">
        <v>1317</v>
      </c>
    </row>
    <row r="639" spans="1:14" x14ac:dyDescent="0.2">
      <c r="A639">
        <v>11015</v>
      </c>
      <c r="B639" t="s">
        <v>1311</v>
      </c>
      <c r="C639">
        <v>2</v>
      </c>
      <c r="D639" s="19">
        <v>35895</v>
      </c>
      <c r="E639" s="19">
        <v>35909</v>
      </c>
      <c r="F639" s="19">
        <v>35905</v>
      </c>
      <c r="G639">
        <v>2</v>
      </c>
      <c r="H639">
        <v>4.62</v>
      </c>
      <c r="I639" t="s">
        <v>1312</v>
      </c>
      <c r="J639" t="s">
        <v>1314</v>
      </c>
      <c r="K639" t="s">
        <v>1315</v>
      </c>
      <c r="M639" t="s">
        <v>1316</v>
      </c>
      <c r="N639" t="s">
        <v>1317</v>
      </c>
    </row>
    <row r="640" spans="1:14" x14ac:dyDescent="0.2">
      <c r="A640">
        <v>10324</v>
      </c>
      <c r="B640" t="s">
        <v>1320</v>
      </c>
      <c r="C640">
        <v>9</v>
      </c>
      <c r="D640" s="19">
        <v>35346</v>
      </c>
      <c r="E640" s="19">
        <v>35374</v>
      </c>
      <c r="F640" s="19">
        <v>35348</v>
      </c>
      <c r="G640">
        <v>1</v>
      </c>
      <c r="H640">
        <v>214.27</v>
      </c>
      <c r="I640" t="s">
        <v>1321</v>
      </c>
      <c r="J640" t="s">
        <v>1323</v>
      </c>
      <c r="K640" t="s">
        <v>1324</v>
      </c>
      <c r="L640" t="s">
        <v>1325</v>
      </c>
      <c r="M640" t="s">
        <v>1326</v>
      </c>
      <c r="N640" t="s">
        <v>1018</v>
      </c>
    </row>
    <row r="641" spans="1:14" x14ac:dyDescent="0.2">
      <c r="A641">
        <v>10393</v>
      </c>
      <c r="B641" t="s">
        <v>1320</v>
      </c>
      <c r="C641">
        <v>1</v>
      </c>
      <c r="D641" s="19">
        <v>35424</v>
      </c>
      <c r="E641" s="19">
        <v>35452</v>
      </c>
      <c r="F641" s="19">
        <v>35433</v>
      </c>
      <c r="G641">
        <v>3</v>
      </c>
      <c r="H641">
        <v>126.56</v>
      </c>
      <c r="I641" t="s">
        <v>1321</v>
      </c>
      <c r="J641" t="s">
        <v>1323</v>
      </c>
      <c r="K641" t="s">
        <v>1324</v>
      </c>
      <c r="L641" t="s">
        <v>1325</v>
      </c>
      <c r="M641" t="s">
        <v>1326</v>
      </c>
      <c r="N641" t="s">
        <v>1018</v>
      </c>
    </row>
    <row r="642" spans="1:14" x14ac:dyDescent="0.2">
      <c r="A642">
        <v>10398</v>
      </c>
      <c r="B642" t="s">
        <v>1320</v>
      </c>
      <c r="C642">
        <v>2</v>
      </c>
      <c r="D642" s="19">
        <v>35429</v>
      </c>
      <c r="E642" s="19">
        <v>35457</v>
      </c>
      <c r="F642" s="19">
        <v>35439</v>
      </c>
      <c r="G642">
        <v>3</v>
      </c>
      <c r="H642">
        <v>89.16</v>
      </c>
      <c r="I642" t="s">
        <v>1321</v>
      </c>
      <c r="J642" t="s">
        <v>1323</v>
      </c>
      <c r="K642" t="s">
        <v>1324</v>
      </c>
      <c r="L642" t="s">
        <v>1325</v>
      </c>
      <c r="M642" t="s">
        <v>1326</v>
      </c>
      <c r="N642" t="s">
        <v>1018</v>
      </c>
    </row>
    <row r="643" spans="1:14" x14ac:dyDescent="0.2">
      <c r="A643">
        <v>10440</v>
      </c>
      <c r="B643" t="s">
        <v>1320</v>
      </c>
      <c r="C643">
        <v>4</v>
      </c>
      <c r="D643" s="19">
        <v>35471</v>
      </c>
      <c r="E643" s="19">
        <v>35499</v>
      </c>
      <c r="F643" s="19">
        <v>35489</v>
      </c>
      <c r="G643">
        <v>2</v>
      </c>
      <c r="H643">
        <v>86.53</v>
      </c>
      <c r="I643" t="s">
        <v>1321</v>
      </c>
      <c r="J643" t="s">
        <v>1323</v>
      </c>
      <c r="K643" t="s">
        <v>1324</v>
      </c>
      <c r="L643" t="s">
        <v>1325</v>
      </c>
      <c r="M643" t="s">
        <v>1326</v>
      </c>
      <c r="N643" t="s">
        <v>1018</v>
      </c>
    </row>
    <row r="644" spans="1:14" x14ac:dyDescent="0.2">
      <c r="A644">
        <v>10452</v>
      </c>
      <c r="B644" t="s">
        <v>1320</v>
      </c>
      <c r="C644">
        <v>8</v>
      </c>
      <c r="D644" s="19">
        <v>35481</v>
      </c>
      <c r="E644" s="19">
        <v>35509</v>
      </c>
      <c r="F644" s="19">
        <v>35487</v>
      </c>
      <c r="G644">
        <v>1</v>
      </c>
      <c r="H644">
        <v>140.26</v>
      </c>
      <c r="I644" t="s">
        <v>1321</v>
      </c>
      <c r="J644" t="s">
        <v>1323</v>
      </c>
      <c r="K644" t="s">
        <v>1324</v>
      </c>
      <c r="L644" t="s">
        <v>1325</v>
      </c>
      <c r="M644" t="s">
        <v>1326</v>
      </c>
      <c r="N644" t="s">
        <v>1018</v>
      </c>
    </row>
    <row r="645" spans="1:14" x14ac:dyDescent="0.2">
      <c r="A645">
        <v>10510</v>
      </c>
      <c r="B645" t="s">
        <v>1320</v>
      </c>
      <c r="C645">
        <v>6</v>
      </c>
      <c r="D645" s="19">
        <v>35538</v>
      </c>
      <c r="E645" s="19">
        <v>35566</v>
      </c>
      <c r="F645" s="19">
        <v>35548</v>
      </c>
      <c r="G645">
        <v>3</v>
      </c>
      <c r="H645">
        <v>367.63</v>
      </c>
      <c r="I645" t="s">
        <v>1321</v>
      </c>
      <c r="J645" t="s">
        <v>1323</v>
      </c>
      <c r="K645" t="s">
        <v>1324</v>
      </c>
      <c r="L645" t="s">
        <v>1325</v>
      </c>
      <c r="M645" t="s">
        <v>1326</v>
      </c>
      <c r="N645" t="s">
        <v>1018</v>
      </c>
    </row>
    <row r="646" spans="1:14" x14ac:dyDescent="0.2">
      <c r="A646">
        <v>10555</v>
      </c>
      <c r="B646" t="s">
        <v>1320</v>
      </c>
      <c r="C646">
        <v>6</v>
      </c>
      <c r="D646" s="19">
        <v>35583</v>
      </c>
      <c r="E646" s="19">
        <v>35611</v>
      </c>
      <c r="F646" s="19">
        <v>35585</v>
      </c>
      <c r="G646">
        <v>3</v>
      </c>
      <c r="H646">
        <v>252.49</v>
      </c>
      <c r="I646" t="s">
        <v>1321</v>
      </c>
      <c r="J646" t="s">
        <v>1323</v>
      </c>
      <c r="K646" t="s">
        <v>1324</v>
      </c>
      <c r="L646" t="s">
        <v>1325</v>
      </c>
      <c r="M646" t="s">
        <v>1326</v>
      </c>
      <c r="N646" t="s">
        <v>1018</v>
      </c>
    </row>
    <row r="647" spans="1:14" x14ac:dyDescent="0.2">
      <c r="A647">
        <v>10603</v>
      </c>
      <c r="B647" t="s">
        <v>1320</v>
      </c>
      <c r="C647">
        <v>8</v>
      </c>
      <c r="D647" s="19">
        <v>35629</v>
      </c>
      <c r="E647" s="19">
        <v>35657</v>
      </c>
      <c r="F647" s="19">
        <v>35650</v>
      </c>
      <c r="G647">
        <v>2</v>
      </c>
      <c r="H647">
        <v>48.77</v>
      </c>
      <c r="I647" t="s">
        <v>1321</v>
      </c>
      <c r="J647" t="s">
        <v>1323</v>
      </c>
      <c r="K647" t="s">
        <v>1324</v>
      </c>
      <c r="L647" t="s">
        <v>1325</v>
      </c>
      <c r="M647" t="s">
        <v>1326</v>
      </c>
      <c r="N647" t="s">
        <v>1018</v>
      </c>
    </row>
    <row r="648" spans="1:14" x14ac:dyDescent="0.2">
      <c r="A648">
        <v>10607</v>
      </c>
      <c r="B648" t="s">
        <v>1320</v>
      </c>
      <c r="C648">
        <v>5</v>
      </c>
      <c r="D648" s="19">
        <v>35633</v>
      </c>
      <c r="E648" s="19">
        <v>35661</v>
      </c>
      <c r="F648" s="19">
        <v>35636</v>
      </c>
      <c r="G648">
        <v>1</v>
      </c>
      <c r="H648">
        <v>200.24</v>
      </c>
      <c r="I648" t="s">
        <v>1321</v>
      </c>
      <c r="J648" t="s">
        <v>1323</v>
      </c>
      <c r="K648" t="s">
        <v>1324</v>
      </c>
      <c r="L648" t="s">
        <v>1325</v>
      </c>
      <c r="M648" t="s">
        <v>1326</v>
      </c>
      <c r="N648" t="s">
        <v>1018</v>
      </c>
    </row>
    <row r="649" spans="1:14" x14ac:dyDescent="0.2">
      <c r="A649">
        <v>10612</v>
      </c>
      <c r="B649" t="s">
        <v>1320</v>
      </c>
      <c r="C649">
        <v>1</v>
      </c>
      <c r="D649" s="19">
        <v>35639</v>
      </c>
      <c r="E649" s="19">
        <v>35667</v>
      </c>
      <c r="F649" s="19">
        <v>35643</v>
      </c>
      <c r="G649">
        <v>2</v>
      </c>
      <c r="H649">
        <v>544.08000000000004</v>
      </c>
      <c r="I649" t="s">
        <v>1321</v>
      </c>
      <c r="J649" t="s">
        <v>1323</v>
      </c>
      <c r="K649" t="s">
        <v>1324</v>
      </c>
      <c r="L649" t="s">
        <v>1325</v>
      </c>
      <c r="M649" t="s">
        <v>1326</v>
      </c>
      <c r="N649" t="s">
        <v>1018</v>
      </c>
    </row>
    <row r="650" spans="1:14" x14ac:dyDescent="0.2">
      <c r="A650">
        <v>10627</v>
      </c>
      <c r="B650" t="s">
        <v>1320</v>
      </c>
      <c r="C650">
        <v>8</v>
      </c>
      <c r="D650" s="19">
        <v>35653</v>
      </c>
      <c r="E650" s="19">
        <v>35695</v>
      </c>
      <c r="F650" s="19">
        <v>35663</v>
      </c>
      <c r="G650">
        <v>3</v>
      </c>
      <c r="H650">
        <v>107.46</v>
      </c>
      <c r="I650" t="s">
        <v>1321</v>
      </c>
      <c r="J650" t="s">
        <v>1323</v>
      </c>
      <c r="K650" t="s">
        <v>1324</v>
      </c>
      <c r="L650" t="s">
        <v>1325</v>
      </c>
      <c r="M650" t="s">
        <v>1326</v>
      </c>
      <c r="N650" t="s">
        <v>1018</v>
      </c>
    </row>
    <row r="651" spans="1:14" x14ac:dyDescent="0.2">
      <c r="A651">
        <v>10657</v>
      </c>
      <c r="B651" t="s">
        <v>1320</v>
      </c>
      <c r="C651">
        <v>2</v>
      </c>
      <c r="D651" s="19">
        <v>35677</v>
      </c>
      <c r="E651" s="19">
        <v>35705</v>
      </c>
      <c r="F651" s="19">
        <v>35688</v>
      </c>
      <c r="G651">
        <v>2</v>
      </c>
      <c r="H651">
        <v>352.69</v>
      </c>
      <c r="I651" t="s">
        <v>1321</v>
      </c>
      <c r="J651" t="s">
        <v>1323</v>
      </c>
      <c r="K651" t="s">
        <v>1324</v>
      </c>
      <c r="L651" t="s">
        <v>1325</v>
      </c>
      <c r="M651" t="s">
        <v>1326</v>
      </c>
      <c r="N651" t="s">
        <v>1018</v>
      </c>
    </row>
    <row r="652" spans="1:14" x14ac:dyDescent="0.2">
      <c r="A652">
        <v>10678</v>
      </c>
      <c r="B652" t="s">
        <v>1320</v>
      </c>
      <c r="C652">
        <v>7</v>
      </c>
      <c r="D652" s="19">
        <v>35696</v>
      </c>
      <c r="E652" s="19">
        <v>35724</v>
      </c>
      <c r="F652" s="19">
        <v>35719</v>
      </c>
      <c r="G652">
        <v>3</v>
      </c>
      <c r="H652">
        <v>388.98</v>
      </c>
      <c r="I652" t="s">
        <v>1321</v>
      </c>
      <c r="J652" t="s">
        <v>1323</v>
      </c>
      <c r="K652" t="s">
        <v>1324</v>
      </c>
      <c r="L652" t="s">
        <v>1325</v>
      </c>
      <c r="M652" t="s">
        <v>1326</v>
      </c>
      <c r="N652" t="s">
        <v>1018</v>
      </c>
    </row>
    <row r="653" spans="1:14" x14ac:dyDescent="0.2">
      <c r="A653">
        <v>10700</v>
      </c>
      <c r="B653" t="s">
        <v>1320</v>
      </c>
      <c r="C653">
        <v>3</v>
      </c>
      <c r="D653" s="19">
        <v>35713</v>
      </c>
      <c r="E653" s="19">
        <v>35741</v>
      </c>
      <c r="F653" s="19">
        <v>35719</v>
      </c>
      <c r="G653">
        <v>1</v>
      </c>
      <c r="H653">
        <v>65.099999999999994</v>
      </c>
      <c r="I653" t="s">
        <v>1321</v>
      </c>
      <c r="J653" t="s">
        <v>1323</v>
      </c>
      <c r="K653" t="s">
        <v>1324</v>
      </c>
      <c r="L653" t="s">
        <v>1325</v>
      </c>
      <c r="M653" t="s">
        <v>1326</v>
      </c>
      <c r="N653" t="s">
        <v>1018</v>
      </c>
    </row>
    <row r="654" spans="1:14" x14ac:dyDescent="0.2">
      <c r="A654">
        <v>10711</v>
      </c>
      <c r="B654" t="s">
        <v>1320</v>
      </c>
      <c r="C654">
        <v>5</v>
      </c>
      <c r="D654" s="19">
        <v>35724</v>
      </c>
      <c r="E654" s="19">
        <v>35766</v>
      </c>
      <c r="F654" s="19">
        <v>35732</v>
      </c>
      <c r="G654">
        <v>2</v>
      </c>
      <c r="H654">
        <v>52.41</v>
      </c>
      <c r="I654" t="s">
        <v>1321</v>
      </c>
      <c r="J654" t="s">
        <v>1323</v>
      </c>
      <c r="K654" t="s">
        <v>1324</v>
      </c>
      <c r="L654" t="s">
        <v>1325</v>
      </c>
      <c r="M654" t="s">
        <v>1326</v>
      </c>
      <c r="N654" t="s">
        <v>1018</v>
      </c>
    </row>
    <row r="655" spans="1:14" x14ac:dyDescent="0.2">
      <c r="A655">
        <v>10713</v>
      </c>
      <c r="B655" t="s">
        <v>1320</v>
      </c>
      <c r="C655">
        <v>1</v>
      </c>
      <c r="D655" s="19">
        <v>35725</v>
      </c>
      <c r="E655" s="19">
        <v>35753</v>
      </c>
      <c r="F655" s="19">
        <v>35727</v>
      </c>
      <c r="G655">
        <v>1</v>
      </c>
      <c r="H655">
        <v>167.05</v>
      </c>
      <c r="I655" t="s">
        <v>1321</v>
      </c>
      <c r="J655" t="s">
        <v>1323</v>
      </c>
      <c r="K655" t="s">
        <v>1324</v>
      </c>
      <c r="L655" t="s">
        <v>1325</v>
      </c>
      <c r="M655" t="s">
        <v>1326</v>
      </c>
      <c r="N655" t="s">
        <v>1018</v>
      </c>
    </row>
    <row r="656" spans="1:14" x14ac:dyDescent="0.2">
      <c r="A656">
        <v>10714</v>
      </c>
      <c r="B656" t="s">
        <v>1320</v>
      </c>
      <c r="C656">
        <v>5</v>
      </c>
      <c r="D656" s="19">
        <v>35725</v>
      </c>
      <c r="E656" s="19">
        <v>35753</v>
      </c>
      <c r="F656" s="19">
        <v>35730</v>
      </c>
      <c r="G656">
        <v>3</v>
      </c>
      <c r="H656">
        <v>24.49</v>
      </c>
      <c r="I656" t="s">
        <v>1321</v>
      </c>
      <c r="J656" t="s">
        <v>1323</v>
      </c>
      <c r="K656" t="s">
        <v>1324</v>
      </c>
      <c r="L656" t="s">
        <v>1325</v>
      </c>
      <c r="M656" t="s">
        <v>1326</v>
      </c>
      <c r="N656" t="s">
        <v>1018</v>
      </c>
    </row>
    <row r="657" spans="1:14" x14ac:dyDescent="0.2">
      <c r="A657">
        <v>10722</v>
      </c>
      <c r="B657" t="s">
        <v>1320</v>
      </c>
      <c r="C657">
        <v>8</v>
      </c>
      <c r="D657" s="19">
        <v>35732</v>
      </c>
      <c r="E657" s="19">
        <v>35774</v>
      </c>
      <c r="F657" s="19">
        <v>35738</v>
      </c>
      <c r="G657">
        <v>1</v>
      </c>
      <c r="H657">
        <v>74.58</v>
      </c>
      <c r="I657" t="s">
        <v>1321</v>
      </c>
      <c r="J657" t="s">
        <v>1323</v>
      </c>
      <c r="K657" t="s">
        <v>1324</v>
      </c>
      <c r="L657" t="s">
        <v>1325</v>
      </c>
      <c r="M657" t="s">
        <v>1326</v>
      </c>
      <c r="N657" t="s">
        <v>1018</v>
      </c>
    </row>
    <row r="658" spans="1:14" x14ac:dyDescent="0.2">
      <c r="A658">
        <v>10748</v>
      </c>
      <c r="B658" t="s">
        <v>1320</v>
      </c>
      <c r="C658">
        <v>3</v>
      </c>
      <c r="D658" s="19">
        <v>35754</v>
      </c>
      <c r="E658" s="19">
        <v>35782</v>
      </c>
      <c r="F658" s="19">
        <v>35762</v>
      </c>
      <c r="G658">
        <v>1</v>
      </c>
      <c r="H658">
        <v>232.55</v>
      </c>
      <c r="I658" t="s">
        <v>1321</v>
      </c>
      <c r="J658" t="s">
        <v>1323</v>
      </c>
      <c r="K658" t="s">
        <v>1324</v>
      </c>
      <c r="L658" t="s">
        <v>1325</v>
      </c>
      <c r="M658" t="s">
        <v>1326</v>
      </c>
      <c r="N658" t="s">
        <v>1018</v>
      </c>
    </row>
    <row r="659" spans="1:14" x14ac:dyDescent="0.2">
      <c r="A659">
        <v>10757</v>
      </c>
      <c r="B659" t="s">
        <v>1320</v>
      </c>
      <c r="C659">
        <v>6</v>
      </c>
      <c r="D659" s="19">
        <v>35761</v>
      </c>
      <c r="E659" s="19">
        <v>35789</v>
      </c>
      <c r="F659" s="19">
        <v>35779</v>
      </c>
      <c r="G659">
        <v>1</v>
      </c>
      <c r="H659">
        <v>8.19</v>
      </c>
      <c r="I659" t="s">
        <v>1321</v>
      </c>
      <c r="J659" t="s">
        <v>1323</v>
      </c>
      <c r="K659" t="s">
        <v>1324</v>
      </c>
      <c r="L659" t="s">
        <v>1325</v>
      </c>
      <c r="M659" t="s">
        <v>1326</v>
      </c>
      <c r="N659" t="s">
        <v>1018</v>
      </c>
    </row>
    <row r="660" spans="1:14" x14ac:dyDescent="0.2">
      <c r="A660">
        <v>10815</v>
      </c>
      <c r="B660" t="s">
        <v>1320</v>
      </c>
      <c r="C660">
        <v>2</v>
      </c>
      <c r="D660" s="19">
        <v>35800</v>
      </c>
      <c r="E660" s="19">
        <v>35828</v>
      </c>
      <c r="F660" s="19">
        <v>35809</v>
      </c>
      <c r="G660">
        <v>3</v>
      </c>
      <c r="H660">
        <v>14.62</v>
      </c>
      <c r="I660" t="s">
        <v>1321</v>
      </c>
      <c r="J660" t="s">
        <v>1323</v>
      </c>
      <c r="K660" t="s">
        <v>1324</v>
      </c>
      <c r="L660" t="s">
        <v>1325</v>
      </c>
      <c r="M660" t="s">
        <v>1326</v>
      </c>
      <c r="N660" t="s">
        <v>1018</v>
      </c>
    </row>
    <row r="661" spans="1:14" x14ac:dyDescent="0.2">
      <c r="A661">
        <v>10847</v>
      </c>
      <c r="B661" t="s">
        <v>1320</v>
      </c>
      <c r="C661">
        <v>4</v>
      </c>
      <c r="D661" s="19">
        <v>35817</v>
      </c>
      <c r="E661" s="19">
        <v>35831</v>
      </c>
      <c r="F661" s="19">
        <v>35836</v>
      </c>
      <c r="G661">
        <v>3</v>
      </c>
      <c r="H661">
        <v>487.57</v>
      </c>
      <c r="I661" t="s">
        <v>1321</v>
      </c>
      <c r="J661" t="s">
        <v>1323</v>
      </c>
      <c r="K661" t="s">
        <v>1324</v>
      </c>
      <c r="L661" t="s">
        <v>1325</v>
      </c>
      <c r="M661" t="s">
        <v>1326</v>
      </c>
      <c r="N661" t="s">
        <v>1018</v>
      </c>
    </row>
    <row r="662" spans="1:14" x14ac:dyDescent="0.2">
      <c r="A662">
        <v>10882</v>
      </c>
      <c r="B662" t="s">
        <v>1320</v>
      </c>
      <c r="C662">
        <v>4</v>
      </c>
      <c r="D662" s="19">
        <v>35837</v>
      </c>
      <c r="E662" s="19">
        <v>35865</v>
      </c>
      <c r="F662" s="19">
        <v>35846</v>
      </c>
      <c r="G662">
        <v>3</v>
      </c>
      <c r="H662">
        <v>23.1</v>
      </c>
      <c r="I662" t="s">
        <v>1321</v>
      </c>
      <c r="J662" t="s">
        <v>1323</v>
      </c>
      <c r="K662" t="s">
        <v>1324</v>
      </c>
      <c r="L662" t="s">
        <v>1325</v>
      </c>
      <c r="M662" t="s">
        <v>1326</v>
      </c>
      <c r="N662" t="s">
        <v>1018</v>
      </c>
    </row>
    <row r="663" spans="1:14" x14ac:dyDescent="0.2">
      <c r="A663">
        <v>10894</v>
      </c>
      <c r="B663" t="s">
        <v>1320</v>
      </c>
      <c r="C663">
        <v>1</v>
      </c>
      <c r="D663" s="19">
        <v>35844</v>
      </c>
      <c r="E663" s="19">
        <v>35872</v>
      </c>
      <c r="F663" s="19">
        <v>35846</v>
      </c>
      <c r="G663">
        <v>1</v>
      </c>
      <c r="H663">
        <v>116.13</v>
      </c>
      <c r="I663" t="s">
        <v>1321</v>
      </c>
      <c r="J663" t="s">
        <v>1323</v>
      </c>
      <c r="K663" t="s">
        <v>1324</v>
      </c>
      <c r="L663" t="s">
        <v>1325</v>
      </c>
      <c r="M663" t="s">
        <v>1326</v>
      </c>
      <c r="N663" t="s">
        <v>1018</v>
      </c>
    </row>
    <row r="664" spans="1:14" x14ac:dyDescent="0.2">
      <c r="A664">
        <v>10941</v>
      </c>
      <c r="B664" t="s">
        <v>1320</v>
      </c>
      <c r="C664">
        <v>7</v>
      </c>
      <c r="D664" s="19">
        <v>35865</v>
      </c>
      <c r="E664" s="19">
        <v>35893</v>
      </c>
      <c r="F664" s="19">
        <v>35874</v>
      </c>
      <c r="G664">
        <v>2</v>
      </c>
      <c r="H664">
        <v>400.81</v>
      </c>
      <c r="I664" t="s">
        <v>1321</v>
      </c>
      <c r="J664" t="s">
        <v>1323</v>
      </c>
      <c r="K664" t="s">
        <v>1324</v>
      </c>
      <c r="L664" t="s">
        <v>1325</v>
      </c>
      <c r="M664" t="s">
        <v>1326</v>
      </c>
      <c r="N664" t="s">
        <v>1018</v>
      </c>
    </row>
    <row r="665" spans="1:14" x14ac:dyDescent="0.2">
      <c r="A665">
        <v>10983</v>
      </c>
      <c r="B665" t="s">
        <v>1320</v>
      </c>
      <c r="C665">
        <v>2</v>
      </c>
      <c r="D665" s="19">
        <v>35881</v>
      </c>
      <c r="E665" s="19">
        <v>35909</v>
      </c>
      <c r="F665" s="19">
        <v>35891</v>
      </c>
      <c r="G665">
        <v>2</v>
      </c>
      <c r="H665">
        <v>657.54</v>
      </c>
      <c r="I665" t="s">
        <v>1321</v>
      </c>
      <c r="J665" t="s">
        <v>1323</v>
      </c>
      <c r="K665" t="s">
        <v>1324</v>
      </c>
      <c r="L665" t="s">
        <v>1325</v>
      </c>
      <c r="M665" t="s">
        <v>1326</v>
      </c>
      <c r="N665" t="s">
        <v>1018</v>
      </c>
    </row>
    <row r="666" spans="1:14" x14ac:dyDescent="0.2">
      <c r="A666">
        <v>10984</v>
      </c>
      <c r="B666" t="s">
        <v>1320</v>
      </c>
      <c r="C666">
        <v>1</v>
      </c>
      <c r="D666" s="19">
        <v>35884</v>
      </c>
      <c r="E666" s="19">
        <v>35912</v>
      </c>
      <c r="F666" s="19">
        <v>35888</v>
      </c>
      <c r="G666">
        <v>3</v>
      </c>
      <c r="H666">
        <v>211.22</v>
      </c>
      <c r="I666" t="s">
        <v>1321</v>
      </c>
      <c r="J666" t="s">
        <v>1323</v>
      </c>
      <c r="K666" t="s">
        <v>1324</v>
      </c>
      <c r="L666" t="s">
        <v>1325</v>
      </c>
      <c r="M666" t="s">
        <v>1326</v>
      </c>
      <c r="N666" t="s">
        <v>1018</v>
      </c>
    </row>
    <row r="667" spans="1:14" x14ac:dyDescent="0.2">
      <c r="A667">
        <v>11002</v>
      </c>
      <c r="B667" t="s">
        <v>1320</v>
      </c>
      <c r="C667">
        <v>4</v>
      </c>
      <c r="D667" s="19">
        <v>35891</v>
      </c>
      <c r="E667" s="19">
        <v>35919</v>
      </c>
      <c r="F667" s="19">
        <v>35901</v>
      </c>
      <c r="G667">
        <v>1</v>
      </c>
      <c r="H667">
        <v>141.16</v>
      </c>
      <c r="I667" t="s">
        <v>1321</v>
      </c>
      <c r="J667" t="s">
        <v>1323</v>
      </c>
      <c r="K667" t="s">
        <v>1324</v>
      </c>
      <c r="L667" t="s">
        <v>1325</v>
      </c>
      <c r="M667" t="s">
        <v>1326</v>
      </c>
      <c r="N667" t="s">
        <v>1018</v>
      </c>
    </row>
    <row r="668" spans="1:14" x14ac:dyDescent="0.2">
      <c r="A668">
        <v>11030</v>
      </c>
      <c r="B668" t="s">
        <v>1320</v>
      </c>
      <c r="C668">
        <v>7</v>
      </c>
      <c r="D668" s="19">
        <v>35902</v>
      </c>
      <c r="E668" s="19">
        <v>35930</v>
      </c>
      <c r="F668" s="19">
        <v>35912</v>
      </c>
      <c r="G668">
        <v>2</v>
      </c>
      <c r="H668">
        <v>830.75</v>
      </c>
      <c r="I668" t="s">
        <v>1321</v>
      </c>
      <c r="J668" t="s">
        <v>1323</v>
      </c>
      <c r="K668" t="s">
        <v>1324</v>
      </c>
      <c r="L668" t="s">
        <v>1325</v>
      </c>
      <c r="M668" t="s">
        <v>1326</v>
      </c>
      <c r="N668" t="s">
        <v>1018</v>
      </c>
    </row>
    <row r="669" spans="1:14" x14ac:dyDescent="0.2">
      <c r="A669">
        <v>11031</v>
      </c>
      <c r="B669" t="s">
        <v>1320</v>
      </c>
      <c r="C669">
        <v>6</v>
      </c>
      <c r="D669" s="19">
        <v>35902</v>
      </c>
      <c r="E669" s="19">
        <v>35930</v>
      </c>
      <c r="F669" s="19">
        <v>35909</v>
      </c>
      <c r="G669">
        <v>2</v>
      </c>
      <c r="H669">
        <v>227.22</v>
      </c>
      <c r="I669" t="s">
        <v>1321</v>
      </c>
      <c r="J669" t="s">
        <v>1323</v>
      </c>
      <c r="K669" t="s">
        <v>1324</v>
      </c>
      <c r="L669" t="s">
        <v>1325</v>
      </c>
      <c r="M669" t="s">
        <v>1326</v>
      </c>
      <c r="N669" t="s">
        <v>1018</v>
      </c>
    </row>
    <row r="670" spans="1:14" x14ac:dyDescent="0.2">
      <c r="A670">
        <v>11064</v>
      </c>
      <c r="B670" t="s">
        <v>1320</v>
      </c>
      <c r="C670">
        <v>1</v>
      </c>
      <c r="D670" s="19">
        <v>35916</v>
      </c>
      <c r="E670" s="19">
        <v>35944</v>
      </c>
      <c r="F670" s="19">
        <v>35919</v>
      </c>
      <c r="G670">
        <v>1</v>
      </c>
      <c r="H670">
        <v>30.09</v>
      </c>
      <c r="I670" t="s">
        <v>1321</v>
      </c>
      <c r="J670" t="s">
        <v>1323</v>
      </c>
      <c r="K670" t="s">
        <v>1324</v>
      </c>
      <c r="L670" t="s">
        <v>1325</v>
      </c>
      <c r="M670" t="s">
        <v>1326</v>
      </c>
      <c r="N670" t="s">
        <v>1018</v>
      </c>
    </row>
    <row r="671" spans="1:14" x14ac:dyDescent="0.2">
      <c r="A671">
        <v>10359</v>
      </c>
      <c r="B671" t="s">
        <v>1328</v>
      </c>
      <c r="C671">
        <v>5</v>
      </c>
      <c r="D671" s="19">
        <v>35390</v>
      </c>
      <c r="E671" s="19">
        <v>35418</v>
      </c>
      <c r="F671" s="19">
        <v>35395</v>
      </c>
      <c r="G671">
        <v>3</v>
      </c>
      <c r="H671">
        <v>288.43</v>
      </c>
      <c r="I671" t="s">
        <v>1329</v>
      </c>
      <c r="J671" t="s">
        <v>1331</v>
      </c>
      <c r="K671" t="s">
        <v>785</v>
      </c>
      <c r="M671" t="s">
        <v>1332</v>
      </c>
      <c r="N671" t="s">
        <v>787</v>
      </c>
    </row>
    <row r="672" spans="1:14" x14ac:dyDescent="0.2">
      <c r="A672">
        <v>10377</v>
      </c>
      <c r="B672" t="s">
        <v>1328</v>
      </c>
      <c r="C672">
        <v>1</v>
      </c>
      <c r="D672" s="19">
        <v>35408</v>
      </c>
      <c r="E672" s="19">
        <v>35436</v>
      </c>
      <c r="F672" s="19">
        <v>35412</v>
      </c>
      <c r="G672">
        <v>3</v>
      </c>
      <c r="H672">
        <v>22.21</v>
      </c>
      <c r="I672" t="s">
        <v>1329</v>
      </c>
      <c r="J672" t="s">
        <v>1331</v>
      </c>
      <c r="K672" t="s">
        <v>785</v>
      </c>
      <c r="M672" t="s">
        <v>1332</v>
      </c>
      <c r="N672" t="s">
        <v>787</v>
      </c>
    </row>
    <row r="673" spans="1:14" x14ac:dyDescent="0.2">
      <c r="A673">
        <v>10388</v>
      </c>
      <c r="B673" t="s">
        <v>1328</v>
      </c>
      <c r="C673">
        <v>2</v>
      </c>
      <c r="D673" s="19">
        <v>35418</v>
      </c>
      <c r="E673" s="19">
        <v>35446</v>
      </c>
      <c r="F673" s="19">
        <v>35419</v>
      </c>
      <c r="G673">
        <v>1</v>
      </c>
      <c r="H673">
        <v>34.86</v>
      </c>
      <c r="I673" t="s">
        <v>1329</v>
      </c>
      <c r="J673" t="s">
        <v>1331</v>
      </c>
      <c r="K673" t="s">
        <v>785</v>
      </c>
      <c r="M673" t="s">
        <v>1332</v>
      </c>
      <c r="N673" t="s">
        <v>787</v>
      </c>
    </row>
    <row r="674" spans="1:14" x14ac:dyDescent="0.2">
      <c r="A674">
        <v>10472</v>
      </c>
      <c r="B674" t="s">
        <v>1328</v>
      </c>
      <c r="C674">
        <v>8</v>
      </c>
      <c r="D674" s="19">
        <v>35501</v>
      </c>
      <c r="E674" s="19">
        <v>35529</v>
      </c>
      <c r="F674" s="19">
        <v>35508</v>
      </c>
      <c r="G674">
        <v>1</v>
      </c>
      <c r="H674">
        <v>4.2</v>
      </c>
      <c r="I674" t="s">
        <v>1329</v>
      </c>
      <c r="J674" t="s">
        <v>1331</v>
      </c>
      <c r="K674" t="s">
        <v>785</v>
      </c>
      <c r="M674" t="s">
        <v>1332</v>
      </c>
      <c r="N674" t="s">
        <v>787</v>
      </c>
    </row>
    <row r="675" spans="1:14" x14ac:dyDescent="0.2">
      <c r="A675">
        <v>10523</v>
      </c>
      <c r="B675" t="s">
        <v>1328</v>
      </c>
      <c r="C675">
        <v>7</v>
      </c>
      <c r="D675" s="19">
        <v>35551</v>
      </c>
      <c r="E675" s="19">
        <v>35579</v>
      </c>
      <c r="F675" s="19">
        <v>35580</v>
      </c>
      <c r="G675">
        <v>2</v>
      </c>
      <c r="H675">
        <v>77.63</v>
      </c>
      <c r="I675" t="s">
        <v>1329</v>
      </c>
      <c r="J675" t="s">
        <v>1331</v>
      </c>
      <c r="K675" t="s">
        <v>785</v>
      </c>
      <c r="M675" t="s">
        <v>1332</v>
      </c>
      <c r="N675" t="s">
        <v>787</v>
      </c>
    </row>
    <row r="676" spans="1:14" x14ac:dyDescent="0.2">
      <c r="A676">
        <v>10547</v>
      </c>
      <c r="B676" t="s">
        <v>1328</v>
      </c>
      <c r="C676">
        <v>3</v>
      </c>
      <c r="D676" s="19">
        <v>35573</v>
      </c>
      <c r="E676" s="19">
        <v>35601</v>
      </c>
      <c r="F676" s="19">
        <v>35583</v>
      </c>
      <c r="G676">
        <v>2</v>
      </c>
      <c r="H676">
        <v>178.43</v>
      </c>
      <c r="I676" t="s">
        <v>1329</v>
      </c>
      <c r="J676" t="s">
        <v>1331</v>
      </c>
      <c r="K676" t="s">
        <v>785</v>
      </c>
      <c r="M676" t="s">
        <v>1332</v>
      </c>
      <c r="N676" t="s">
        <v>787</v>
      </c>
    </row>
    <row r="677" spans="1:14" x14ac:dyDescent="0.2">
      <c r="A677">
        <v>10800</v>
      </c>
      <c r="B677" t="s">
        <v>1328</v>
      </c>
      <c r="C677">
        <v>1</v>
      </c>
      <c r="D677" s="19">
        <v>35790</v>
      </c>
      <c r="E677" s="19">
        <v>35818</v>
      </c>
      <c r="F677" s="19">
        <v>35800</v>
      </c>
      <c r="G677">
        <v>3</v>
      </c>
      <c r="H677">
        <v>137.44</v>
      </c>
      <c r="I677" t="s">
        <v>1329</v>
      </c>
      <c r="J677" t="s">
        <v>1331</v>
      </c>
      <c r="K677" t="s">
        <v>785</v>
      </c>
      <c r="M677" t="s">
        <v>1332</v>
      </c>
      <c r="N677" t="s">
        <v>787</v>
      </c>
    </row>
    <row r="678" spans="1:14" x14ac:dyDescent="0.2">
      <c r="A678">
        <v>10804</v>
      </c>
      <c r="B678" t="s">
        <v>1328</v>
      </c>
      <c r="C678">
        <v>6</v>
      </c>
      <c r="D678" s="19">
        <v>35794</v>
      </c>
      <c r="E678" s="19">
        <v>35822</v>
      </c>
      <c r="F678" s="19">
        <v>35802</v>
      </c>
      <c r="G678">
        <v>2</v>
      </c>
      <c r="H678">
        <v>27.33</v>
      </c>
      <c r="I678" t="s">
        <v>1329</v>
      </c>
      <c r="J678" t="s">
        <v>1331</v>
      </c>
      <c r="K678" t="s">
        <v>785</v>
      </c>
      <c r="M678" t="s">
        <v>1332</v>
      </c>
      <c r="N678" t="s">
        <v>787</v>
      </c>
    </row>
    <row r="679" spans="1:14" x14ac:dyDescent="0.2">
      <c r="A679">
        <v>10869</v>
      </c>
      <c r="B679" t="s">
        <v>1328</v>
      </c>
      <c r="C679">
        <v>5</v>
      </c>
      <c r="D679" s="19">
        <v>35830</v>
      </c>
      <c r="E679" s="19">
        <v>35858</v>
      </c>
      <c r="F679" s="19">
        <v>35835</v>
      </c>
      <c r="G679">
        <v>1</v>
      </c>
      <c r="H679">
        <v>143.28</v>
      </c>
      <c r="I679" t="s">
        <v>1329</v>
      </c>
      <c r="J679" t="s">
        <v>1331</v>
      </c>
      <c r="K679" t="s">
        <v>785</v>
      </c>
      <c r="M679" t="s">
        <v>1332</v>
      </c>
      <c r="N679" t="s">
        <v>787</v>
      </c>
    </row>
    <row r="680" spans="1:14" x14ac:dyDescent="0.2">
      <c r="A680">
        <v>10341</v>
      </c>
      <c r="B680" t="s">
        <v>1335</v>
      </c>
      <c r="C680">
        <v>7</v>
      </c>
      <c r="D680" s="19">
        <v>35367</v>
      </c>
      <c r="E680" s="19">
        <v>35395</v>
      </c>
      <c r="F680" s="19">
        <v>35374</v>
      </c>
      <c r="G680">
        <v>3</v>
      </c>
      <c r="H680">
        <v>26.78</v>
      </c>
      <c r="I680" t="s">
        <v>1336</v>
      </c>
      <c r="J680" t="s">
        <v>1338</v>
      </c>
      <c r="K680" t="s">
        <v>1339</v>
      </c>
      <c r="M680" t="s">
        <v>1340</v>
      </c>
      <c r="N680" t="s">
        <v>1341</v>
      </c>
    </row>
    <row r="681" spans="1:14" x14ac:dyDescent="0.2">
      <c r="A681">
        <v>10417</v>
      </c>
      <c r="B681" t="s">
        <v>1335</v>
      </c>
      <c r="C681">
        <v>4</v>
      </c>
      <c r="D681" s="19">
        <v>35446</v>
      </c>
      <c r="E681" s="19">
        <v>35474</v>
      </c>
      <c r="F681" s="19">
        <v>35458</v>
      </c>
      <c r="G681">
        <v>3</v>
      </c>
      <c r="H681">
        <v>70.290000000000006</v>
      </c>
      <c r="I681" t="s">
        <v>1336</v>
      </c>
      <c r="J681" t="s">
        <v>1338</v>
      </c>
      <c r="K681" t="s">
        <v>1339</v>
      </c>
      <c r="M681" t="s">
        <v>1340</v>
      </c>
      <c r="N681" t="s">
        <v>1341</v>
      </c>
    </row>
    <row r="682" spans="1:14" x14ac:dyDescent="0.2">
      <c r="A682">
        <v>10556</v>
      </c>
      <c r="B682" t="s">
        <v>1335</v>
      </c>
      <c r="C682">
        <v>2</v>
      </c>
      <c r="D682" s="19">
        <v>35584</v>
      </c>
      <c r="E682" s="19">
        <v>35626</v>
      </c>
      <c r="F682" s="19">
        <v>35594</v>
      </c>
      <c r="G682">
        <v>1</v>
      </c>
      <c r="H682">
        <v>9.8000000000000007</v>
      </c>
      <c r="I682" t="s">
        <v>1336</v>
      </c>
      <c r="J682" t="s">
        <v>1338</v>
      </c>
      <c r="K682" t="s">
        <v>1339</v>
      </c>
      <c r="M682" t="s">
        <v>1340</v>
      </c>
      <c r="N682" t="s">
        <v>1341</v>
      </c>
    </row>
    <row r="683" spans="1:14" x14ac:dyDescent="0.2">
      <c r="A683">
        <v>10642</v>
      </c>
      <c r="B683" t="s">
        <v>1335</v>
      </c>
      <c r="C683">
        <v>7</v>
      </c>
      <c r="D683" s="19">
        <v>35664</v>
      </c>
      <c r="E683" s="19">
        <v>35692</v>
      </c>
      <c r="F683" s="19">
        <v>35678</v>
      </c>
      <c r="G683">
        <v>3</v>
      </c>
      <c r="H683">
        <v>41.89</v>
      </c>
      <c r="I683" t="s">
        <v>1336</v>
      </c>
      <c r="J683" t="s">
        <v>1338</v>
      </c>
      <c r="K683" t="s">
        <v>1339</v>
      </c>
      <c r="M683" t="s">
        <v>1340</v>
      </c>
      <c r="N683" t="s">
        <v>1341</v>
      </c>
    </row>
    <row r="684" spans="1:14" x14ac:dyDescent="0.2">
      <c r="A684">
        <v>10669</v>
      </c>
      <c r="B684" t="s">
        <v>1335</v>
      </c>
      <c r="C684">
        <v>2</v>
      </c>
      <c r="D684" s="19">
        <v>35688</v>
      </c>
      <c r="E684" s="19">
        <v>35716</v>
      </c>
      <c r="F684" s="19">
        <v>35695</v>
      </c>
      <c r="G684">
        <v>1</v>
      </c>
      <c r="H684">
        <v>24.39</v>
      </c>
      <c r="I684" t="s">
        <v>1336</v>
      </c>
      <c r="J684" t="s">
        <v>1338</v>
      </c>
      <c r="K684" t="s">
        <v>1339</v>
      </c>
      <c r="M684" t="s">
        <v>1340</v>
      </c>
      <c r="N684" t="s">
        <v>1341</v>
      </c>
    </row>
    <row r="685" spans="1:14" x14ac:dyDescent="0.2">
      <c r="A685">
        <v>10802</v>
      </c>
      <c r="B685" t="s">
        <v>1335</v>
      </c>
      <c r="C685">
        <v>4</v>
      </c>
      <c r="D685" s="19">
        <v>35793</v>
      </c>
      <c r="E685" s="19">
        <v>35821</v>
      </c>
      <c r="F685" s="19">
        <v>35797</v>
      </c>
      <c r="G685">
        <v>2</v>
      </c>
      <c r="H685">
        <v>257.26</v>
      </c>
      <c r="I685" t="s">
        <v>1336</v>
      </c>
      <c r="J685" t="s">
        <v>1338</v>
      </c>
      <c r="K685" t="s">
        <v>1339</v>
      </c>
      <c r="M685" t="s">
        <v>1340</v>
      </c>
      <c r="N685" t="s">
        <v>1341</v>
      </c>
    </row>
    <row r="686" spans="1:14" x14ac:dyDescent="0.2">
      <c r="A686">
        <v>11074</v>
      </c>
      <c r="B686" t="s">
        <v>1335</v>
      </c>
      <c r="C686">
        <v>7</v>
      </c>
      <c r="D686" s="19">
        <v>35921</v>
      </c>
      <c r="E686" s="19">
        <v>35949</v>
      </c>
      <c r="F686" s="19"/>
      <c r="G686">
        <v>2</v>
      </c>
      <c r="H686">
        <v>18.440000000000001</v>
      </c>
      <c r="I686" t="s">
        <v>1336</v>
      </c>
      <c r="J686" t="s">
        <v>1338</v>
      </c>
      <c r="K686" t="s">
        <v>1339</v>
      </c>
      <c r="M686" t="s">
        <v>1340</v>
      </c>
      <c r="N686" t="s">
        <v>1341</v>
      </c>
    </row>
    <row r="687" spans="1:14" x14ac:dyDescent="0.2">
      <c r="A687">
        <v>10738</v>
      </c>
      <c r="B687" t="s">
        <v>1344</v>
      </c>
      <c r="C687">
        <v>2</v>
      </c>
      <c r="D687" s="19">
        <v>35746</v>
      </c>
      <c r="E687" s="19">
        <v>35774</v>
      </c>
      <c r="F687" s="19">
        <v>35752</v>
      </c>
      <c r="G687">
        <v>1</v>
      </c>
      <c r="H687">
        <v>2.91</v>
      </c>
      <c r="I687" t="s">
        <v>1345</v>
      </c>
      <c r="J687" t="s">
        <v>1347</v>
      </c>
      <c r="K687" t="s">
        <v>1222</v>
      </c>
      <c r="M687" t="s">
        <v>1348</v>
      </c>
      <c r="N687" t="s">
        <v>815</v>
      </c>
    </row>
    <row r="688" spans="1:14" x14ac:dyDescent="0.2">
      <c r="A688">
        <v>10907</v>
      </c>
      <c r="B688" t="s">
        <v>1344</v>
      </c>
      <c r="C688">
        <v>6</v>
      </c>
      <c r="D688" s="19">
        <v>35851</v>
      </c>
      <c r="E688" s="19">
        <v>35879</v>
      </c>
      <c r="F688" s="19">
        <v>35853</v>
      </c>
      <c r="G688">
        <v>3</v>
      </c>
      <c r="H688">
        <v>9.19</v>
      </c>
      <c r="I688" t="s">
        <v>1345</v>
      </c>
      <c r="J688" t="s">
        <v>1347</v>
      </c>
      <c r="K688" t="s">
        <v>1222</v>
      </c>
      <c r="M688" t="s">
        <v>1348</v>
      </c>
      <c r="N688" t="s">
        <v>815</v>
      </c>
    </row>
    <row r="689" spans="1:14" x14ac:dyDescent="0.2">
      <c r="A689">
        <v>10964</v>
      </c>
      <c r="B689" t="s">
        <v>1344</v>
      </c>
      <c r="C689">
        <v>3</v>
      </c>
      <c r="D689" s="19">
        <v>35874</v>
      </c>
      <c r="E689" s="19">
        <v>35902</v>
      </c>
      <c r="F689" s="19">
        <v>35878</v>
      </c>
      <c r="G689">
        <v>2</v>
      </c>
      <c r="H689">
        <v>87.38</v>
      </c>
      <c r="I689" t="s">
        <v>1345</v>
      </c>
      <c r="J689" t="s">
        <v>1347</v>
      </c>
      <c r="K689" t="s">
        <v>1222</v>
      </c>
      <c r="M689" t="s">
        <v>1348</v>
      </c>
      <c r="N689" t="s">
        <v>815</v>
      </c>
    </row>
    <row r="690" spans="1:14" x14ac:dyDescent="0.2">
      <c r="A690">
        <v>11043</v>
      </c>
      <c r="B690" t="s">
        <v>1344</v>
      </c>
      <c r="C690">
        <v>5</v>
      </c>
      <c r="D690" s="19">
        <v>35907</v>
      </c>
      <c r="E690" s="19">
        <v>35935</v>
      </c>
      <c r="F690" s="19">
        <v>35914</v>
      </c>
      <c r="G690">
        <v>2</v>
      </c>
      <c r="H690">
        <v>8.8000000000000007</v>
      </c>
      <c r="I690" t="s">
        <v>1345</v>
      </c>
      <c r="J690" t="s">
        <v>1347</v>
      </c>
      <c r="K690" t="s">
        <v>1222</v>
      </c>
      <c r="M690" t="s">
        <v>1348</v>
      </c>
      <c r="N690" t="s">
        <v>815</v>
      </c>
    </row>
    <row r="691" spans="1:14" x14ac:dyDescent="0.2">
      <c r="A691">
        <v>10271</v>
      </c>
      <c r="B691" t="s">
        <v>1351</v>
      </c>
      <c r="C691">
        <v>6</v>
      </c>
      <c r="D691" s="19">
        <v>35278</v>
      </c>
      <c r="E691" s="19">
        <v>35306</v>
      </c>
      <c r="F691" s="19">
        <v>35307</v>
      </c>
      <c r="G691">
        <v>2</v>
      </c>
      <c r="H691">
        <v>4.54</v>
      </c>
      <c r="I691" t="s">
        <v>1352</v>
      </c>
      <c r="J691" t="s">
        <v>1354</v>
      </c>
      <c r="K691" t="s">
        <v>1355</v>
      </c>
      <c r="L691" t="s">
        <v>1356</v>
      </c>
      <c r="M691" t="s">
        <v>1357</v>
      </c>
      <c r="N691" t="s">
        <v>1018</v>
      </c>
    </row>
    <row r="692" spans="1:14" x14ac:dyDescent="0.2">
      <c r="A692">
        <v>10329</v>
      </c>
      <c r="B692" t="s">
        <v>1351</v>
      </c>
      <c r="C692">
        <v>4</v>
      </c>
      <c r="D692" s="19">
        <v>35353</v>
      </c>
      <c r="E692" s="19">
        <v>35395</v>
      </c>
      <c r="F692" s="19">
        <v>35361</v>
      </c>
      <c r="G692">
        <v>2</v>
      </c>
      <c r="H692">
        <v>191.67</v>
      </c>
      <c r="I692" t="s">
        <v>1352</v>
      </c>
      <c r="J692" t="s">
        <v>1354</v>
      </c>
      <c r="K692" t="s">
        <v>1355</v>
      </c>
      <c r="L692" t="s">
        <v>1356</v>
      </c>
      <c r="M692" t="s">
        <v>1357</v>
      </c>
      <c r="N692" t="s">
        <v>1018</v>
      </c>
    </row>
    <row r="693" spans="1:14" x14ac:dyDescent="0.2">
      <c r="A693">
        <v>10349</v>
      </c>
      <c r="B693" t="s">
        <v>1351</v>
      </c>
      <c r="C693">
        <v>7</v>
      </c>
      <c r="D693" s="19">
        <v>35377</v>
      </c>
      <c r="E693" s="19">
        <v>35405</v>
      </c>
      <c r="F693" s="19">
        <v>35384</v>
      </c>
      <c r="G693">
        <v>1</v>
      </c>
      <c r="H693">
        <v>8.6300000000000008</v>
      </c>
      <c r="I693" t="s">
        <v>1352</v>
      </c>
      <c r="J693" t="s">
        <v>1354</v>
      </c>
      <c r="K693" t="s">
        <v>1355</v>
      </c>
      <c r="L693" t="s">
        <v>1356</v>
      </c>
      <c r="M693" t="s">
        <v>1357</v>
      </c>
      <c r="N693" t="s">
        <v>1018</v>
      </c>
    </row>
    <row r="694" spans="1:14" x14ac:dyDescent="0.2">
      <c r="A694">
        <v>10369</v>
      </c>
      <c r="B694" t="s">
        <v>1351</v>
      </c>
      <c r="C694">
        <v>8</v>
      </c>
      <c r="D694" s="19">
        <v>35401</v>
      </c>
      <c r="E694" s="19">
        <v>35429</v>
      </c>
      <c r="F694" s="19">
        <v>35408</v>
      </c>
      <c r="G694">
        <v>2</v>
      </c>
      <c r="H694">
        <v>195.68</v>
      </c>
      <c r="I694" t="s">
        <v>1352</v>
      </c>
      <c r="J694" t="s">
        <v>1354</v>
      </c>
      <c r="K694" t="s">
        <v>1355</v>
      </c>
      <c r="L694" t="s">
        <v>1356</v>
      </c>
      <c r="M694" t="s">
        <v>1357</v>
      </c>
      <c r="N694" t="s">
        <v>1018</v>
      </c>
    </row>
    <row r="695" spans="1:14" x14ac:dyDescent="0.2">
      <c r="A695">
        <v>10385</v>
      </c>
      <c r="B695" t="s">
        <v>1351</v>
      </c>
      <c r="C695">
        <v>1</v>
      </c>
      <c r="D695" s="19">
        <v>35416</v>
      </c>
      <c r="E695" s="19">
        <v>35444</v>
      </c>
      <c r="F695" s="19">
        <v>35422</v>
      </c>
      <c r="G695">
        <v>2</v>
      </c>
      <c r="H695">
        <v>30.96</v>
      </c>
      <c r="I695" t="s">
        <v>1352</v>
      </c>
      <c r="J695" t="s">
        <v>1354</v>
      </c>
      <c r="K695" t="s">
        <v>1355</v>
      </c>
      <c r="L695" t="s">
        <v>1356</v>
      </c>
      <c r="M695" t="s">
        <v>1357</v>
      </c>
      <c r="N695" t="s">
        <v>1018</v>
      </c>
    </row>
    <row r="696" spans="1:14" x14ac:dyDescent="0.2">
      <c r="A696">
        <v>10432</v>
      </c>
      <c r="B696" t="s">
        <v>1351</v>
      </c>
      <c r="C696">
        <v>3</v>
      </c>
      <c r="D696" s="19">
        <v>35461</v>
      </c>
      <c r="E696" s="19">
        <v>35475</v>
      </c>
      <c r="F696" s="19">
        <v>35468</v>
      </c>
      <c r="G696">
        <v>2</v>
      </c>
      <c r="H696">
        <v>4.34</v>
      </c>
      <c r="I696" t="s">
        <v>1352</v>
      </c>
      <c r="J696" t="s">
        <v>1354</v>
      </c>
      <c r="K696" t="s">
        <v>1355</v>
      </c>
      <c r="L696" t="s">
        <v>1356</v>
      </c>
      <c r="M696" t="s">
        <v>1357</v>
      </c>
      <c r="N696" t="s">
        <v>1018</v>
      </c>
    </row>
    <row r="697" spans="1:14" x14ac:dyDescent="0.2">
      <c r="A697">
        <v>10756</v>
      </c>
      <c r="B697" t="s">
        <v>1351</v>
      </c>
      <c r="C697">
        <v>8</v>
      </c>
      <c r="D697" s="19">
        <v>35761</v>
      </c>
      <c r="E697" s="19">
        <v>35789</v>
      </c>
      <c r="F697" s="19">
        <v>35766</v>
      </c>
      <c r="G697">
        <v>2</v>
      </c>
      <c r="H697">
        <v>73.209999999999994</v>
      </c>
      <c r="I697" t="s">
        <v>1352</v>
      </c>
      <c r="J697" t="s">
        <v>1354</v>
      </c>
      <c r="K697" t="s">
        <v>1355</v>
      </c>
      <c r="L697" t="s">
        <v>1356</v>
      </c>
      <c r="M697" t="s">
        <v>1357</v>
      </c>
      <c r="N697" t="s">
        <v>1018</v>
      </c>
    </row>
    <row r="698" spans="1:14" x14ac:dyDescent="0.2">
      <c r="A698">
        <v>10821</v>
      </c>
      <c r="B698" t="s">
        <v>1351</v>
      </c>
      <c r="C698">
        <v>1</v>
      </c>
      <c r="D698" s="19">
        <v>35803</v>
      </c>
      <c r="E698" s="19">
        <v>35831</v>
      </c>
      <c r="F698" s="19">
        <v>35810</v>
      </c>
      <c r="G698">
        <v>1</v>
      </c>
      <c r="H698">
        <v>36.68</v>
      </c>
      <c r="I698" t="s">
        <v>1352</v>
      </c>
      <c r="J698" t="s">
        <v>1354</v>
      </c>
      <c r="K698" t="s">
        <v>1355</v>
      </c>
      <c r="L698" t="s">
        <v>1356</v>
      </c>
      <c r="M698" t="s">
        <v>1357</v>
      </c>
      <c r="N698" t="s">
        <v>1018</v>
      </c>
    </row>
    <row r="699" spans="1:14" x14ac:dyDescent="0.2">
      <c r="A699">
        <v>10974</v>
      </c>
      <c r="B699" t="s">
        <v>1351</v>
      </c>
      <c r="C699">
        <v>3</v>
      </c>
      <c r="D699" s="19">
        <v>35879</v>
      </c>
      <c r="E699" s="19">
        <v>35893</v>
      </c>
      <c r="F699" s="19">
        <v>35888</v>
      </c>
      <c r="G699">
        <v>3</v>
      </c>
      <c r="H699">
        <v>12.96</v>
      </c>
      <c r="I699" t="s">
        <v>1352</v>
      </c>
      <c r="J699" t="s">
        <v>1354</v>
      </c>
      <c r="K699" t="s">
        <v>1355</v>
      </c>
      <c r="L699" t="s">
        <v>1356</v>
      </c>
      <c r="M699" t="s">
        <v>1357</v>
      </c>
      <c r="N699" t="s">
        <v>1018</v>
      </c>
    </row>
    <row r="700" spans="1:14" x14ac:dyDescent="0.2">
      <c r="A700">
        <v>10252</v>
      </c>
      <c r="B700" t="s">
        <v>1360</v>
      </c>
      <c r="C700">
        <v>4</v>
      </c>
      <c r="D700" s="19">
        <v>35255</v>
      </c>
      <c r="E700" s="19">
        <v>35283</v>
      </c>
      <c r="F700" s="19">
        <v>35257</v>
      </c>
      <c r="G700">
        <v>2</v>
      </c>
      <c r="H700">
        <v>51.3</v>
      </c>
      <c r="I700" t="s">
        <v>1361</v>
      </c>
      <c r="J700" t="s">
        <v>1363</v>
      </c>
      <c r="K700" t="s">
        <v>1364</v>
      </c>
      <c r="M700" t="s">
        <v>1365</v>
      </c>
      <c r="N700" t="s">
        <v>1169</v>
      </c>
    </row>
    <row r="701" spans="1:14" x14ac:dyDescent="0.2">
      <c r="A701">
        <v>10302</v>
      </c>
      <c r="B701" t="s">
        <v>1360</v>
      </c>
      <c r="C701">
        <v>4</v>
      </c>
      <c r="D701" s="19">
        <v>35318</v>
      </c>
      <c r="E701" s="19">
        <v>35346</v>
      </c>
      <c r="F701" s="19">
        <v>35347</v>
      </c>
      <c r="G701">
        <v>2</v>
      </c>
      <c r="H701">
        <v>6.27</v>
      </c>
      <c r="I701" t="s">
        <v>1361</v>
      </c>
      <c r="J701" t="s">
        <v>1363</v>
      </c>
      <c r="K701" t="s">
        <v>1364</v>
      </c>
      <c r="M701" t="s">
        <v>1365</v>
      </c>
      <c r="N701" t="s">
        <v>1169</v>
      </c>
    </row>
    <row r="702" spans="1:14" x14ac:dyDescent="0.2">
      <c r="A702">
        <v>10458</v>
      </c>
      <c r="B702" t="s">
        <v>1360</v>
      </c>
      <c r="C702">
        <v>7</v>
      </c>
      <c r="D702" s="19">
        <v>35487</v>
      </c>
      <c r="E702" s="19">
        <v>35515</v>
      </c>
      <c r="F702" s="19">
        <v>35493</v>
      </c>
      <c r="G702">
        <v>3</v>
      </c>
      <c r="H702">
        <v>147.06</v>
      </c>
      <c r="I702" t="s">
        <v>1361</v>
      </c>
      <c r="J702" t="s">
        <v>1363</v>
      </c>
      <c r="K702" t="s">
        <v>1364</v>
      </c>
      <c r="M702" t="s">
        <v>1365</v>
      </c>
      <c r="N702" t="s">
        <v>1169</v>
      </c>
    </row>
    <row r="703" spans="1:14" x14ac:dyDescent="0.2">
      <c r="A703">
        <v>10463</v>
      </c>
      <c r="B703" t="s">
        <v>1360</v>
      </c>
      <c r="C703">
        <v>5</v>
      </c>
      <c r="D703" s="19">
        <v>35493</v>
      </c>
      <c r="E703" s="19">
        <v>35521</v>
      </c>
      <c r="F703" s="19">
        <v>35495</v>
      </c>
      <c r="G703">
        <v>3</v>
      </c>
      <c r="H703">
        <v>14.78</v>
      </c>
      <c r="I703" t="s">
        <v>1361</v>
      </c>
      <c r="J703" t="s">
        <v>1363</v>
      </c>
      <c r="K703" t="s">
        <v>1364</v>
      </c>
      <c r="M703" t="s">
        <v>1365</v>
      </c>
      <c r="N703" t="s">
        <v>1169</v>
      </c>
    </row>
    <row r="704" spans="1:14" x14ac:dyDescent="0.2">
      <c r="A704">
        <v>10475</v>
      </c>
      <c r="B704" t="s">
        <v>1360</v>
      </c>
      <c r="C704">
        <v>9</v>
      </c>
      <c r="D704" s="19">
        <v>35503</v>
      </c>
      <c r="E704" s="19">
        <v>35531</v>
      </c>
      <c r="F704" s="19">
        <v>35524</v>
      </c>
      <c r="G704">
        <v>1</v>
      </c>
      <c r="H704">
        <v>68.52</v>
      </c>
      <c r="I704" t="s">
        <v>1361</v>
      </c>
      <c r="J704" t="s">
        <v>1363</v>
      </c>
      <c r="K704" t="s">
        <v>1364</v>
      </c>
      <c r="M704" t="s">
        <v>1365</v>
      </c>
      <c r="N704" t="s">
        <v>1169</v>
      </c>
    </row>
    <row r="705" spans="1:14" x14ac:dyDescent="0.2">
      <c r="A705">
        <v>10767</v>
      </c>
      <c r="B705" t="s">
        <v>1360</v>
      </c>
      <c r="C705">
        <v>4</v>
      </c>
      <c r="D705" s="19">
        <v>35769</v>
      </c>
      <c r="E705" s="19">
        <v>35797</v>
      </c>
      <c r="F705" s="19">
        <v>35779</v>
      </c>
      <c r="G705">
        <v>3</v>
      </c>
      <c r="H705">
        <v>1.59</v>
      </c>
      <c r="I705" t="s">
        <v>1361</v>
      </c>
      <c r="J705" t="s">
        <v>1363</v>
      </c>
      <c r="K705" t="s">
        <v>1364</v>
      </c>
      <c r="M705" t="s">
        <v>1365</v>
      </c>
      <c r="N705" t="s">
        <v>1169</v>
      </c>
    </row>
    <row r="706" spans="1:14" x14ac:dyDescent="0.2">
      <c r="A706">
        <v>10841</v>
      </c>
      <c r="B706" t="s">
        <v>1360</v>
      </c>
      <c r="C706">
        <v>5</v>
      </c>
      <c r="D706" s="19">
        <v>35815</v>
      </c>
      <c r="E706" s="19">
        <v>35843</v>
      </c>
      <c r="F706" s="19">
        <v>35824</v>
      </c>
      <c r="G706">
        <v>2</v>
      </c>
      <c r="H706">
        <v>424.3</v>
      </c>
      <c r="I706" t="s">
        <v>1361</v>
      </c>
      <c r="J706" t="s">
        <v>1363</v>
      </c>
      <c r="K706" t="s">
        <v>1364</v>
      </c>
      <c r="M706" t="s">
        <v>1365</v>
      </c>
      <c r="N706" t="s">
        <v>1169</v>
      </c>
    </row>
    <row r="707" spans="1:14" x14ac:dyDescent="0.2">
      <c r="A707">
        <v>10846</v>
      </c>
      <c r="B707" t="s">
        <v>1360</v>
      </c>
      <c r="C707">
        <v>2</v>
      </c>
      <c r="D707" s="19">
        <v>35817</v>
      </c>
      <c r="E707" s="19">
        <v>35859</v>
      </c>
      <c r="F707" s="19">
        <v>35818</v>
      </c>
      <c r="G707">
        <v>3</v>
      </c>
      <c r="H707">
        <v>56.46</v>
      </c>
      <c r="I707" t="s">
        <v>1361</v>
      </c>
      <c r="J707" t="s">
        <v>1363</v>
      </c>
      <c r="K707" t="s">
        <v>1364</v>
      </c>
      <c r="M707" t="s">
        <v>1365</v>
      </c>
      <c r="N707" t="s">
        <v>1169</v>
      </c>
    </row>
    <row r="708" spans="1:14" x14ac:dyDescent="0.2">
      <c r="A708">
        <v>10885</v>
      </c>
      <c r="B708" t="s">
        <v>1360</v>
      </c>
      <c r="C708">
        <v>6</v>
      </c>
      <c r="D708" s="19">
        <v>35838</v>
      </c>
      <c r="E708" s="19">
        <v>35866</v>
      </c>
      <c r="F708" s="19">
        <v>35844</v>
      </c>
      <c r="G708">
        <v>3</v>
      </c>
      <c r="H708">
        <v>5.64</v>
      </c>
      <c r="I708" t="s">
        <v>1361</v>
      </c>
      <c r="J708" t="s">
        <v>1363</v>
      </c>
      <c r="K708" t="s">
        <v>1364</v>
      </c>
      <c r="M708" t="s">
        <v>1365</v>
      </c>
      <c r="N708" t="s">
        <v>1169</v>
      </c>
    </row>
    <row r="709" spans="1:14" x14ac:dyDescent="0.2">
      <c r="A709">
        <v>10930</v>
      </c>
      <c r="B709" t="s">
        <v>1360</v>
      </c>
      <c r="C709">
        <v>4</v>
      </c>
      <c r="D709" s="19">
        <v>35860</v>
      </c>
      <c r="E709" s="19">
        <v>35902</v>
      </c>
      <c r="F709" s="19">
        <v>35872</v>
      </c>
      <c r="G709">
        <v>3</v>
      </c>
      <c r="H709">
        <v>15.55</v>
      </c>
      <c r="I709" t="s">
        <v>1361</v>
      </c>
      <c r="J709" t="s">
        <v>1363</v>
      </c>
      <c r="K709" t="s">
        <v>1364</v>
      </c>
      <c r="M709" t="s">
        <v>1365</v>
      </c>
      <c r="N709" t="s">
        <v>1169</v>
      </c>
    </row>
    <row r="710" spans="1:14" x14ac:dyDescent="0.2">
      <c r="A710">
        <v>11035</v>
      </c>
      <c r="B710" t="s">
        <v>1360</v>
      </c>
      <c r="C710">
        <v>2</v>
      </c>
      <c r="D710" s="19">
        <v>35905</v>
      </c>
      <c r="E710" s="19">
        <v>35933</v>
      </c>
      <c r="F710" s="19">
        <v>35909</v>
      </c>
      <c r="G710">
        <v>2</v>
      </c>
      <c r="H710">
        <v>0.17</v>
      </c>
      <c r="I710" t="s">
        <v>1361</v>
      </c>
      <c r="J710" t="s">
        <v>1363</v>
      </c>
      <c r="K710" t="s">
        <v>1364</v>
      </c>
      <c r="M710" t="s">
        <v>1365</v>
      </c>
      <c r="N710" t="s">
        <v>1169</v>
      </c>
    </row>
    <row r="711" spans="1:14" x14ac:dyDescent="0.2">
      <c r="A711">
        <v>11038</v>
      </c>
      <c r="B711" t="s">
        <v>1360</v>
      </c>
      <c r="C711">
        <v>1</v>
      </c>
      <c r="D711" s="19">
        <v>35906</v>
      </c>
      <c r="E711" s="19">
        <v>35934</v>
      </c>
      <c r="F711" s="19">
        <v>35915</v>
      </c>
      <c r="G711">
        <v>2</v>
      </c>
      <c r="H711">
        <v>29.59</v>
      </c>
      <c r="I711" t="s">
        <v>1361</v>
      </c>
      <c r="J711" t="s">
        <v>1363</v>
      </c>
      <c r="K711" t="s">
        <v>1364</v>
      </c>
      <c r="M711" t="s">
        <v>1365</v>
      </c>
      <c r="N711" t="s">
        <v>1169</v>
      </c>
    </row>
    <row r="712" spans="1:14" x14ac:dyDescent="0.2">
      <c r="A712">
        <v>10310</v>
      </c>
      <c r="B712" t="s">
        <v>1368</v>
      </c>
      <c r="C712">
        <v>8</v>
      </c>
      <c r="D712" s="19">
        <v>35328</v>
      </c>
      <c r="E712" s="19">
        <v>35356</v>
      </c>
      <c r="F712" s="19">
        <v>35335</v>
      </c>
      <c r="G712">
        <v>2</v>
      </c>
      <c r="H712">
        <v>17.52</v>
      </c>
      <c r="I712" t="s">
        <v>1369</v>
      </c>
      <c r="J712" t="s">
        <v>1371</v>
      </c>
      <c r="K712" t="s">
        <v>1151</v>
      </c>
      <c r="L712" t="s">
        <v>1016</v>
      </c>
      <c r="M712" t="s">
        <v>1372</v>
      </c>
      <c r="N712" t="s">
        <v>1018</v>
      </c>
    </row>
    <row r="713" spans="1:14" x14ac:dyDescent="0.2">
      <c r="A713">
        <v>10708</v>
      </c>
      <c r="B713" t="s">
        <v>1368</v>
      </c>
      <c r="C713">
        <v>6</v>
      </c>
      <c r="D713" s="19">
        <v>35720</v>
      </c>
      <c r="E713" s="19">
        <v>35762</v>
      </c>
      <c r="F713" s="19">
        <v>35739</v>
      </c>
      <c r="G713">
        <v>2</v>
      </c>
      <c r="H713">
        <v>2.96</v>
      </c>
      <c r="I713" t="s">
        <v>1369</v>
      </c>
      <c r="J713" t="s">
        <v>1371</v>
      </c>
      <c r="K713" t="s">
        <v>1151</v>
      </c>
      <c r="L713" t="s">
        <v>1016</v>
      </c>
      <c r="M713" t="s">
        <v>1372</v>
      </c>
      <c r="N713" t="s">
        <v>1018</v>
      </c>
    </row>
    <row r="714" spans="1:14" x14ac:dyDescent="0.2">
      <c r="A714">
        <v>10805</v>
      </c>
      <c r="B714" t="s">
        <v>1368</v>
      </c>
      <c r="C714">
        <v>2</v>
      </c>
      <c r="D714" s="19">
        <v>35794</v>
      </c>
      <c r="E714" s="19">
        <v>35822</v>
      </c>
      <c r="F714" s="19">
        <v>35804</v>
      </c>
      <c r="G714">
        <v>3</v>
      </c>
      <c r="H714">
        <v>237.34</v>
      </c>
      <c r="I714" t="s">
        <v>1369</v>
      </c>
      <c r="J714" t="s">
        <v>1371</v>
      </c>
      <c r="K714" t="s">
        <v>1151</v>
      </c>
      <c r="L714" t="s">
        <v>1016</v>
      </c>
      <c r="M714" t="s">
        <v>1372</v>
      </c>
      <c r="N714" t="s">
        <v>1018</v>
      </c>
    </row>
    <row r="715" spans="1:14" x14ac:dyDescent="0.2">
      <c r="A715">
        <v>10992</v>
      </c>
      <c r="B715" t="s">
        <v>1368</v>
      </c>
      <c r="C715">
        <v>1</v>
      </c>
      <c r="D715" s="19">
        <v>35886</v>
      </c>
      <c r="E715" s="19">
        <v>35914</v>
      </c>
      <c r="F715" s="19">
        <v>35888</v>
      </c>
      <c r="G715">
        <v>3</v>
      </c>
      <c r="H715">
        <v>4.2699999999999996</v>
      </c>
      <c r="I715" t="s">
        <v>1369</v>
      </c>
      <c r="J715" t="s">
        <v>1371</v>
      </c>
      <c r="K715" t="s">
        <v>1151</v>
      </c>
      <c r="L715" t="s">
        <v>1016</v>
      </c>
      <c r="M715" t="s">
        <v>1372</v>
      </c>
      <c r="N715" t="s">
        <v>1018</v>
      </c>
    </row>
    <row r="716" spans="1:14" x14ac:dyDescent="0.2">
      <c r="A716">
        <v>10624</v>
      </c>
      <c r="B716" t="s">
        <v>1374</v>
      </c>
      <c r="C716">
        <v>4</v>
      </c>
      <c r="D716" s="19">
        <v>35649</v>
      </c>
      <c r="E716" s="19">
        <v>35677</v>
      </c>
      <c r="F716" s="19">
        <v>35661</v>
      </c>
      <c r="G716">
        <v>2</v>
      </c>
      <c r="H716">
        <v>94.8</v>
      </c>
      <c r="I716" t="s">
        <v>1375</v>
      </c>
      <c r="J716" t="s">
        <v>1377</v>
      </c>
      <c r="K716" t="s">
        <v>1378</v>
      </c>
      <c r="L716" t="s">
        <v>1379</v>
      </c>
      <c r="M716" t="s">
        <v>1380</v>
      </c>
      <c r="N716" t="s">
        <v>1018</v>
      </c>
    </row>
    <row r="717" spans="1:14" x14ac:dyDescent="0.2">
      <c r="A717">
        <v>10775</v>
      </c>
      <c r="B717" t="s">
        <v>1374</v>
      </c>
      <c r="C717">
        <v>7</v>
      </c>
      <c r="D717" s="19">
        <v>35776</v>
      </c>
      <c r="E717" s="19">
        <v>35804</v>
      </c>
      <c r="F717" s="19">
        <v>35790</v>
      </c>
      <c r="G717">
        <v>1</v>
      </c>
      <c r="H717">
        <v>20.25</v>
      </c>
      <c r="I717" t="s">
        <v>1375</v>
      </c>
      <c r="J717" t="s">
        <v>1377</v>
      </c>
      <c r="K717" t="s">
        <v>1378</v>
      </c>
      <c r="L717" t="s">
        <v>1379</v>
      </c>
      <c r="M717" t="s">
        <v>1380</v>
      </c>
      <c r="N717" t="s">
        <v>1018</v>
      </c>
    </row>
    <row r="718" spans="1:14" x14ac:dyDescent="0.2">
      <c r="A718">
        <v>11003</v>
      </c>
      <c r="B718" t="s">
        <v>1374</v>
      </c>
      <c r="C718">
        <v>3</v>
      </c>
      <c r="D718" s="19">
        <v>35891</v>
      </c>
      <c r="E718" s="19">
        <v>35919</v>
      </c>
      <c r="F718" s="19">
        <v>35893</v>
      </c>
      <c r="G718">
        <v>3</v>
      </c>
      <c r="H718">
        <v>14.91</v>
      </c>
      <c r="I718" t="s">
        <v>1375</v>
      </c>
      <c r="J718" t="s">
        <v>1377</v>
      </c>
      <c r="K718" t="s">
        <v>1378</v>
      </c>
      <c r="L718" t="s">
        <v>1379</v>
      </c>
      <c r="M718" t="s">
        <v>1380</v>
      </c>
      <c r="N718" t="s">
        <v>1018</v>
      </c>
    </row>
    <row r="719" spans="1:14" x14ac:dyDescent="0.2">
      <c r="A719">
        <v>10438</v>
      </c>
      <c r="B719" t="s">
        <v>1383</v>
      </c>
      <c r="C719">
        <v>3</v>
      </c>
      <c r="D719" s="19">
        <v>35467</v>
      </c>
      <c r="E719" s="19">
        <v>35495</v>
      </c>
      <c r="F719" s="19">
        <v>35475</v>
      </c>
      <c r="G719">
        <v>2</v>
      </c>
      <c r="H719">
        <v>8.24</v>
      </c>
      <c r="I719" t="s">
        <v>1384</v>
      </c>
      <c r="J719" t="s">
        <v>1386</v>
      </c>
      <c r="K719" t="s">
        <v>1387</v>
      </c>
      <c r="M719" t="s">
        <v>1388</v>
      </c>
      <c r="N719" t="s">
        <v>762</v>
      </c>
    </row>
    <row r="720" spans="1:14" x14ac:dyDescent="0.2">
      <c r="A720">
        <v>10446</v>
      </c>
      <c r="B720" t="s">
        <v>1383</v>
      </c>
      <c r="C720">
        <v>6</v>
      </c>
      <c r="D720" s="19">
        <v>35475</v>
      </c>
      <c r="E720" s="19">
        <v>35503</v>
      </c>
      <c r="F720" s="19">
        <v>35480</v>
      </c>
      <c r="G720">
        <v>1</v>
      </c>
      <c r="H720">
        <v>14.68</v>
      </c>
      <c r="I720" t="s">
        <v>1384</v>
      </c>
      <c r="J720" t="s">
        <v>1386</v>
      </c>
      <c r="K720" t="s">
        <v>1387</v>
      </c>
      <c r="M720" t="s">
        <v>1388</v>
      </c>
      <c r="N720" t="s">
        <v>762</v>
      </c>
    </row>
    <row r="721" spans="1:14" x14ac:dyDescent="0.2">
      <c r="A721">
        <v>10548</v>
      </c>
      <c r="B721" t="s">
        <v>1383</v>
      </c>
      <c r="C721">
        <v>3</v>
      </c>
      <c r="D721" s="19">
        <v>35576</v>
      </c>
      <c r="E721" s="19">
        <v>35604</v>
      </c>
      <c r="F721" s="19">
        <v>35583</v>
      </c>
      <c r="G721">
        <v>2</v>
      </c>
      <c r="H721">
        <v>1.43</v>
      </c>
      <c r="I721" t="s">
        <v>1384</v>
      </c>
      <c r="J721" t="s">
        <v>1386</v>
      </c>
      <c r="K721" t="s">
        <v>1387</v>
      </c>
      <c r="M721" t="s">
        <v>1388</v>
      </c>
      <c r="N721" t="s">
        <v>762</v>
      </c>
    </row>
    <row r="722" spans="1:14" x14ac:dyDescent="0.2">
      <c r="A722">
        <v>10608</v>
      </c>
      <c r="B722" t="s">
        <v>1383</v>
      </c>
      <c r="C722">
        <v>4</v>
      </c>
      <c r="D722" s="19">
        <v>35634</v>
      </c>
      <c r="E722" s="19">
        <v>35662</v>
      </c>
      <c r="F722" s="19">
        <v>35643</v>
      </c>
      <c r="G722">
        <v>2</v>
      </c>
      <c r="H722">
        <v>27.79</v>
      </c>
      <c r="I722" t="s">
        <v>1384</v>
      </c>
      <c r="J722" t="s">
        <v>1386</v>
      </c>
      <c r="K722" t="s">
        <v>1387</v>
      </c>
      <c r="M722" t="s">
        <v>1388</v>
      </c>
      <c r="N722" t="s">
        <v>762</v>
      </c>
    </row>
    <row r="723" spans="1:14" x14ac:dyDescent="0.2">
      <c r="A723">
        <v>10967</v>
      </c>
      <c r="B723" t="s">
        <v>1383</v>
      </c>
      <c r="C723">
        <v>2</v>
      </c>
      <c r="D723" s="19">
        <v>35877</v>
      </c>
      <c r="E723" s="19">
        <v>35905</v>
      </c>
      <c r="F723" s="19">
        <v>35887</v>
      </c>
      <c r="G723">
        <v>2</v>
      </c>
      <c r="H723">
        <v>62.22</v>
      </c>
      <c r="I723" t="s">
        <v>1384</v>
      </c>
      <c r="J723" t="s">
        <v>1386</v>
      </c>
      <c r="K723" t="s">
        <v>1387</v>
      </c>
      <c r="M723" t="s">
        <v>1388</v>
      </c>
      <c r="N723" t="s">
        <v>762</v>
      </c>
    </row>
    <row r="724" spans="1:14" x14ac:dyDescent="0.2">
      <c r="A724">
        <v>10276</v>
      </c>
      <c r="B724" t="s">
        <v>1391</v>
      </c>
      <c r="C724">
        <v>8</v>
      </c>
      <c r="D724" s="19">
        <v>35285</v>
      </c>
      <c r="E724" s="19">
        <v>35299</v>
      </c>
      <c r="F724" s="19">
        <v>35291</v>
      </c>
      <c r="G724">
        <v>3</v>
      </c>
      <c r="H724">
        <v>13.84</v>
      </c>
      <c r="I724" t="s">
        <v>1392</v>
      </c>
      <c r="J724" t="s">
        <v>1394</v>
      </c>
      <c r="K724" t="s">
        <v>770</v>
      </c>
      <c r="M724" t="s">
        <v>1230</v>
      </c>
      <c r="N724" t="s">
        <v>772</v>
      </c>
    </row>
    <row r="725" spans="1:14" x14ac:dyDescent="0.2">
      <c r="A725">
        <v>10293</v>
      </c>
      <c r="B725" t="s">
        <v>1391</v>
      </c>
      <c r="C725">
        <v>1</v>
      </c>
      <c r="D725" s="19">
        <v>35306</v>
      </c>
      <c r="E725" s="19">
        <v>35334</v>
      </c>
      <c r="F725" s="19">
        <v>35319</v>
      </c>
      <c r="G725">
        <v>3</v>
      </c>
      <c r="H725">
        <v>21.18</v>
      </c>
      <c r="I725" t="s">
        <v>1392</v>
      </c>
      <c r="J725" t="s">
        <v>1394</v>
      </c>
      <c r="K725" t="s">
        <v>770</v>
      </c>
      <c r="M725" t="s">
        <v>1230</v>
      </c>
      <c r="N725" t="s">
        <v>772</v>
      </c>
    </row>
    <row r="726" spans="1:14" x14ac:dyDescent="0.2">
      <c r="A726">
        <v>10304</v>
      </c>
      <c r="B726" t="s">
        <v>1391</v>
      </c>
      <c r="C726">
        <v>1</v>
      </c>
      <c r="D726" s="19">
        <v>35320</v>
      </c>
      <c r="E726" s="19">
        <v>35348</v>
      </c>
      <c r="F726" s="19">
        <v>35325</v>
      </c>
      <c r="G726">
        <v>2</v>
      </c>
      <c r="H726">
        <v>63.79</v>
      </c>
      <c r="I726" t="s">
        <v>1392</v>
      </c>
      <c r="J726" t="s">
        <v>1394</v>
      </c>
      <c r="K726" t="s">
        <v>770</v>
      </c>
      <c r="M726" t="s">
        <v>1230</v>
      </c>
      <c r="N726" t="s">
        <v>772</v>
      </c>
    </row>
    <row r="727" spans="1:14" x14ac:dyDescent="0.2">
      <c r="A727">
        <v>10319</v>
      </c>
      <c r="B727" t="s">
        <v>1391</v>
      </c>
      <c r="C727">
        <v>7</v>
      </c>
      <c r="D727" s="19">
        <v>35340</v>
      </c>
      <c r="E727" s="19">
        <v>35368</v>
      </c>
      <c r="F727" s="19">
        <v>35349</v>
      </c>
      <c r="G727">
        <v>3</v>
      </c>
      <c r="H727">
        <v>64.5</v>
      </c>
      <c r="I727" t="s">
        <v>1392</v>
      </c>
      <c r="J727" t="s">
        <v>1394</v>
      </c>
      <c r="K727" t="s">
        <v>770</v>
      </c>
      <c r="M727" t="s">
        <v>1230</v>
      </c>
      <c r="N727" t="s">
        <v>772</v>
      </c>
    </row>
    <row r="728" spans="1:14" x14ac:dyDescent="0.2">
      <c r="A728">
        <v>10518</v>
      </c>
      <c r="B728" t="s">
        <v>1391</v>
      </c>
      <c r="C728">
        <v>4</v>
      </c>
      <c r="D728" s="19">
        <v>35545</v>
      </c>
      <c r="E728" s="19">
        <v>35559</v>
      </c>
      <c r="F728" s="19">
        <v>35555</v>
      </c>
      <c r="G728">
        <v>2</v>
      </c>
      <c r="H728">
        <v>218.15</v>
      </c>
      <c r="I728" t="s">
        <v>1392</v>
      </c>
      <c r="J728" t="s">
        <v>1394</v>
      </c>
      <c r="K728" t="s">
        <v>770</v>
      </c>
      <c r="M728" t="s">
        <v>1230</v>
      </c>
      <c r="N728" t="s">
        <v>772</v>
      </c>
    </row>
    <row r="729" spans="1:14" x14ac:dyDescent="0.2">
      <c r="A729">
        <v>10576</v>
      </c>
      <c r="B729" t="s">
        <v>1391</v>
      </c>
      <c r="C729">
        <v>3</v>
      </c>
      <c r="D729" s="19">
        <v>35604</v>
      </c>
      <c r="E729" s="19">
        <v>35618</v>
      </c>
      <c r="F729" s="19">
        <v>35611</v>
      </c>
      <c r="G729">
        <v>3</v>
      </c>
      <c r="H729">
        <v>18.559999999999999</v>
      </c>
      <c r="I729" t="s">
        <v>1392</v>
      </c>
      <c r="J729" t="s">
        <v>1394</v>
      </c>
      <c r="K729" t="s">
        <v>770</v>
      </c>
      <c r="M729" t="s">
        <v>1230</v>
      </c>
      <c r="N729" t="s">
        <v>772</v>
      </c>
    </row>
    <row r="730" spans="1:14" x14ac:dyDescent="0.2">
      <c r="A730">
        <v>10676</v>
      </c>
      <c r="B730" t="s">
        <v>1391</v>
      </c>
      <c r="C730">
        <v>2</v>
      </c>
      <c r="D730" s="19">
        <v>35695</v>
      </c>
      <c r="E730" s="19">
        <v>35723</v>
      </c>
      <c r="F730" s="19">
        <v>35702</v>
      </c>
      <c r="G730">
        <v>2</v>
      </c>
      <c r="H730">
        <v>2.0099999999999998</v>
      </c>
      <c r="I730" t="s">
        <v>1392</v>
      </c>
      <c r="J730" t="s">
        <v>1394</v>
      </c>
      <c r="K730" t="s">
        <v>770</v>
      </c>
      <c r="M730" t="s">
        <v>1230</v>
      </c>
      <c r="N730" t="s">
        <v>772</v>
      </c>
    </row>
    <row r="731" spans="1:14" x14ac:dyDescent="0.2">
      <c r="A731">
        <v>10842</v>
      </c>
      <c r="B731" t="s">
        <v>1391</v>
      </c>
      <c r="C731">
        <v>1</v>
      </c>
      <c r="D731" s="19">
        <v>35815</v>
      </c>
      <c r="E731" s="19">
        <v>35843</v>
      </c>
      <c r="F731" s="19">
        <v>35824</v>
      </c>
      <c r="G731">
        <v>3</v>
      </c>
      <c r="H731">
        <v>54.42</v>
      </c>
      <c r="I731" t="s">
        <v>1392</v>
      </c>
      <c r="J731" t="s">
        <v>1394</v>
      </c>
      <c r="K731" t="s">
        <v>770</v>
      </c>
      <c r="M731" t="s">
        <v>1230</v>
      </c>
      <c r="N731" t="s">
        <v>772</v>
      </c>
    </row>
    <row r="732" spans="1:14" x14ac:dyDescent="0.2">
      <c r="A732">
        <v>10915</v>
      </c>
      <c r="B732" t="s">
        <v>1391</v>
      </c>
      <c r="C732">
        <v>2</v>
      </c>
      <c r="D732" s="19">
        <v>35853</v>
      </c>
      <c r="E732" s="19">
        <v>35881</v>
      </c>
      <c r="F732" s="19">
        <v>35856</v>
      </c>
      <c r="G732">
        <v>2</v>
      </c>
      <c r="H732">
        <v>3.51</v>
      </c>
      <c r="I732" t="s">
        <v>1392</v>
      </c>
      <c r="J732" t="s">
        <v>1394</v>
      </c>
      <c r="K732" t="s">
        <v>770</v>
      </c>
      <c r="M732" t="s">
        <v>1230</v>
      </c>
      <c r="N732" t="s">
        <v>772</v>
      </c>
    </row>
    <row r="733" spans="1:14" x14ac:dyDescent="0.2">
      <c r="A733">
        <v>11069</v>
      </c>
      <c r="B733" t="s">
        <v>1391</v>
      </c>
      <c r="C733">
        <v>1</v>
      </c>
      <c r="D733" s="19">
        <v>35919</v>
      </c>
      <c r="E733" s="19">
        <v>35947</v>
      </c>
      <c r="F733" s="19">
        <v>35921</v>
      </c>
      <c r="G733">
        <v>2</v>
      </c>
      <c r="H733">
        <v>15.67</v>
      </c>
      <c r="I733" t="s">
        <v>1392</v>
      </c>
      <c r="J733" t="s">
        <v>1394</v>
      </c>
      <c r="K733" t="s">
        <v>770</v>
      </c>
      <c r="M733" t="s">
        <v>1230</v>
      </c>
      <c r="N733" t="s">
        <v>772</v>
      </c>
    </row>
    <row r="734" spans="1:14" x14ac:dyDescent="0.2">
      <c r="A734">
        <v>10249</v>
      </c>
      <c r="B734" t="s">
        <v>1396</v>
      </c>
      <c r="C734">
        <v>6</v>
      </c>
      <c r="D734" s="19">
        <v>35251</v>
      </c>
      <c r="E734" s="19">
        <v>35293</v>
      </c>
      <c r="F734" s="19">
        <v>35256</v>
      </c>
      <c r="G734">
        <v>1</v>
      </c>
      <c r="H734">
        <v>11.61</v>
      </c>
      <c r="I734" t="s">
        <v>1384</v>
      </c>
      <c r="J734" t="s">
        <v>1386</v>
      </c>
      <c r="K734" t="s">
        <v>1387</v>
      </c>
      <c r="M734" t="s">
        <v>1388</v>
      </c>
      <c r="N734" t="s">
        <v>762</v>
      </c>
    </row>
    <row r="735" spans="1:14" x14ac:dyDescent="0.2">
      <c r="A735">
        <v>10292</v>
      </c>
      <c r="B735" t="s">
        <v>1396</v>
      </c>
      <c r="C735">
        <v>1</v>
      </c>
      <c r="D735" s="19">
        <v>35305</v>
      </c>
      <c r="E735" s="19">
        <v>35333</v>
      </c>
      <c r="F735" s="19">
        <v>35310</v>
      </c>
      <c r="G735">
        <v>2</v>
      </c>
      <c r="H735">
        <v>1.35</v>
      </c>
      <c r="I735" t="s">
        <v>1397</v>
      </c>
      <c r="J735" t="s">
        <v>1399</v>
      </c>
      <c r="K735" t="s">
        <v>882</v>
      </c>
      <c r="L735" t="s">
        <v>883</v>
      </c>
      <c r="M735" t="s">
        <v>1400</v>
      </c>
      <c r="N735" t="s">
        <v>885</v>
      </c>
    </row>
    <row r="736" spans="1:14" x14ac:dyDescent="0.2">
      <c r="A736">
        <v>10496</v>
      </c>
      <c r="B736" t="s">
        <v>1396</v>
      </c>
      <c r="C736">
        <v>7</v>
      </c>
      <c r="D736" s="19">
        <v>35524</v>
      </c>
      <c r="E736" s="19">
        <v>35552</v>
      </c>
      <c r="F736" s="19">
        <v>35527</v>
      </c>
      <c r="G736">
        <v>2</v>
      </c>
      <c r="H736">
        <v>46.77</v>
      </c>
      <c r="I736" t="s">
        <v>1397</v>
      </c>
      <c r="J736" t="s">
        <v>1399</v>
      </c>
      <c r="K736" t="s">
        <v>882</v>
      </c>
      <c r="L736" t="s">
        <v>883</v>
      </c>
      <c r="M736" t="s">
        <v>1400</v>
      </c>
      <c r="N736" t="s">
        <v>885</v>
      </c>
    </row>
    <row r="737" spans="1:14" x14ac:dyDescent="0.2">
      <c r="A737">
        <v>10606</v>
      </c>
      <c r="B737" t="s">
        <v>1396</v>
      </c>
      <c r="C737">
        <v>4</v>
      </c>
      <c r="D737" s="19">
        <v>35633</v>
      </c>
      <c r="E737" s="19">
        <v>35661</v>
      </c>
      <c r="F737" s="19">
        <v>35642</v>
      </c>
      <c r="G737">
        <v>3</v>
      </c>
      <c r="H737">
        <v>79.400000000000006</v>
      </c>
      <c r="I737" t="s">
        <v>1397</v>
      </c>
      <c r="J737" t="s">
        <v>1399</v>
      </c>
      <c r="K737" t="s">
        <v>882</v>
      </c>
      <c r="L737" t="s">
        <v>883</v>
      </c>
      <c r="M737" t="s">
        <v>1400</v>
      </c>
      <c r="N737" t="s">
        <v>885</v>
      </c>
    </row>
    <row r="738" spans="1:14" x14ac:dyDescent="0.2">
      <c r="A738">
        <v>10830</v>
      </c>
      <c r="B738" t="s">
        <v>1396</v>
      </c>
      <c r="C738">
        <v>4</v>
      </c>
      <c r="D738" s="19">
        <v>35808</v>
      </c>
      <c r="E738" s="19">
        <v>35850</v>
      </c>
      <c r="F738" s="19">
        <v>35816</v>
      </c>
      <c r="G738">
        <v>2</v>
      </c>
      <c r="H738">
        <v>81.83</v>
      </c>
      <c r="I738" t="s">
        <v>1397</v>
      </c>
      <c r="J738" t="s">
        <v>1399</v>
      </c>
      <c r="K738" t="s">
        <v>882</v>
      </c>
      <c r="L738" t="s">
        <v>883</v>
      </c>
      <c r="M738" t="s">
        <v>1400</v>
      </c>
      <c r="N738" t="s">
        <v>885</v>
      </c>
    </row>
    <row r="739" spans="1:14" x14ac:dyDescent="0.2">
      <c r="A739">
        <v>10834</v>
      </c>
      <c r="B739" t="s">
        <v>1396</v>
      </c>
      <c r="C739">
        <v>1</v>
      </c>
      <c r="D739" s="19">
        <v>35810</v>
      </c>
      <c r="E739" s="19">
        <v>35838</v>
      </c>
      <c r="F739" s="19">
        <v>35814</v>
      </c>
      <c r="G739">
        <v>3</v>
      </c>
      <c r="H739">
        <v>29.78</v>
      </c>
      <c r="I739" t="s">
        <v>1397</v>
      </c>
      <c r="J739" t="s">
        <v>1399</v>
      </c>
      <c r="K739" t="s">
        <v>882</v>
      </c>
      <c r="L739" t="s">
        <v>883</v>
      </c>
      <c r="M739" t="s">
        <v>1400</v>
      </c>
      <c r="N739" t="s">
        <v>885</v>
      </c>
    </row>
    <row r="740" spans="1:14" x14ac:dyDescent="0.2">
      <c r="A740">
        <v>10839</v>
      </c>
      <c r="B740" t="s">
        <v>1396</v>
      </c>
      <c r="C740">
        <v>3</v>
      </c>
      <c r="D740" s="19">
        <v>35814</v>
      </c>
      <c r="E740" s="19">
        <v>35842</v>
      </c>
      <c r="F740" s="19">
        <v>35817</v>
      </c>
      <c r="G740">
        <v>3</v>
      </c>
      <c r="H740">
        <v>35.43</v>
      </c>
      <c r="I740" t="s">
        <v>1397</v>
      </c>
      <c r="J740" t="s">
        <v>1399</v>
      </c>
      <c r="K740" t="s">
        <v>882</v>
      </c>
      <c r="L740" t="s">
        <v>883</v>
      </c>
      <c r="M740" t="s">
        <v>1400</v>
      </c>
      <c r="N740" t="s">
        <v>885</v>
      </c>
    </row>
    <row r="741" spans="1:14" x14ac:dyDescent="0.2">
      <c r="A741">
        <v>10574</v>
      </c>
      <c r="B741" t="s">
        <v>1403</v>
      </c>
      <c r="C741">
        <v>4</v>
      </c>
      <c r="D741" s="19">
        <v>35600</v>
      </c>
      <c r="E741" s="19">
        <v>35628</v>
      </c>
      <c r="F741" s="19">
        <v>35611</v>
      </c>
      <c r="G741">
        <v>2</v>
      </c>
      <c r="H741">
        <v>37.6</v>
      </c>
      <c r="I741" t="s">
        <v>1404</v>
      </c>
      <c r="J741" t="s">
        <v>1406</v>
      </c>
      <c r="K741" t="s">
        <v>1407</v>
      </c>
      <c r="L741" t="s">
        <v>1109</v>
      </c>
      <c r="M741" t="s">
        <v>1408</v>
      </c>
      <c r="N741" t="s">
        <v>1018</v>
      </c>
    </row>
    <row r="742" spans="1:14" x14ac:dyDescent="0.2">
      <c r="A742">
        <v>10577</v>
      </c>
      <c r="B742" t="s">
        <v>1403</v>
      </c>
      <c r="C742">
        <v>9</v>
      </c>
      <c r="D742" s="19">
        <v>35604</v>
      </c>
      <c r="E742" s="19">
        <v>35646</v>
      </c>
      <c r="F742" s="19">
        <v>35611</v>
      </c>
      <c r="G742">
        <v>2</v>
      </c>
      <c r="H742">
        <v>25.41</v>
      </c>
      <c r="I742" t="s">
        <v>1404</v>
      </c>
      <c r="J742" t="s">
        <v>1406</v>
      </c>
      <c r="K742" t="s">
        <v>1407</v>
      </c>
      <c r="L742" t="s">
        <v>1109</v>
      </c>
      <c r="M742" t="s">
        <v>1408</v>
      </c>
      <c r="N742" t="s">
        <v>1018</v>
      </c>
    </row>
    <row r="743" spans="1:14" x14ac:dyDescent="0.2">
      <c r="A743">
        <v>10822</v>
      </c>
      <c r="B743" t="s">
        <v>1403</v>
      </c>
      <c r="C743">
        <v>6</v>
      </c>
      <c r="D743" s="19">
        <v>35803</v>
      </c>
      <c r="E743" s="19">
        <v>35831</v>
      </c>
      <c r="F743" s="19">
        <v>35811</v>
      </c>
      <c r="G743">
        <v>3</v>
      </c>
      <c r="H743">
        <v>7</v>
      </c>
      <c r="I743" t="s">
        <v>1404</v>
      </c>
      <c r="J743" t="s">
        <v>1406</v>
      </c>
      <c r="K743" t="s">
        <v>1407</v>
      </c>
      <c r="L743" t="s">
        <v>1109</v>
      </c>
      <c r="M743" t="s">
        <v>1408</v>
      </c>
      <c r="N743" t="s">
        <v>1018</v>
      </c>
    </row>
    <row r="744" spans="1:14" x14ac:dyDescent="0.2">
      <c r="A744">
        <v>10367</v>
      </c>
      <c r="B744" t="s">
        <v>1411</v>
      </c>
      <c r="C744">
        <v>7</v>
      </c>
      <c r="D744" s="19">
        <v>35397</v>
      </c>
      <c r="E744" s="19">
        <v>35425</v>
      </c>
      <c r="F744" s="19">
        <v>35401</v>
      </c>
      <c r="G744">
        <v>3</v>
      </c>
      <c r="H744">
        <v>13.55</v>
      </c>
      <c r="I744" t="s">
        <v>1412</v>
      </c>
      <c r="J744" t="s">
        <v>1414</v>
      </c>
      <c r="K744" t="s">
        <v>1415</v>
      </c>
      <c r="M744" t="s">
        <v>1416</v>
      </c>
      <c r="N744" t="s">
        <v>1341</v>
      </c>
    </row>
    <row r="745" spans="1:14" x14ac:dyDescent="0.2">
      <c r="A745">
        <v>10399</v>
      </c>
      <c r="B745" t="s">
        <v>1411</v>
      </c>
      <c r="C745">
        <v>8</v>
      </c>
      <c r="D745" s="19">
        <v>35430</v>
      </c>
      <c r="E745" s="19">
        <v>35444</v>
      </c>
      <c r="F745" s="19">
        <v>35438</v>
      </c>
      <c r="G745">
        <v>3</v>
      </c>
      <c r="H745">
        <v>27.36</v>
      </c>
      <c r="I745" t="s">
        <v>1412</v>
      </c>
      <c r="J745" t="s">
        <v>1414</v>
      </c>
      <c r="K745" t="s">
        <v>1415</v>
      </c>
      <c r="M745" t="s">
        <v>1416</v>
      </c>
      <c r="N745" t="s">
        <v>1341</v>
      </c>
    </row>
    <row r="746" spans="1:14" x14ac:dyDescent="0.2">
      <c r="A746">
        <v>10465</v>
      </c>
      <c r="B746" t="s">
        <v>1411</v>
      </c>
      <c r="C746">
        <v>1</v>
      </c>
      <c r="D746" s="19">
        <v>35494</v>
      </c>
      <c r="E746" s="19">
        <v>35522</v>
      </c>
      <c r="F746" s="19">
        <v>35503</v>
      </c>
      <c r="G746">
        <v>3</v>
      </c>
      <c r="H746">
        <v>145.04</v>
      </c>
      <c r="I746" t="s">
        <v>1412</v>
      </c>
      <c r="J746" t="s">
        <v>1414</v>
      </c>
      <c r="K746" t="s">
        <v>1415</v>
      </c>
      <c r="M746" t="s">
        <v>1416</v>
      </c>
      <c r="N746" t="s">
        <v>1341</v>
      </c>
    </row>
    <row r="747" spans="1:14" x14ac:dyDescent="0.2">
      <c r="A747">
        <v>10591</v>
      </c>
      <c r="B747" t="s">
        <v>1411</v>
      </c>
      <c r="C747">
        <v>1</v>
      </c>
      <c r="D747" s="19">
        <v>35618</v>
      </c>
      <c r="E747" s="19">
        <v>35632</v>
      </c>
      <c r="F747" s="19">
        <v>35627</v>
      </c>
      <c r="G747">
        <v>1</v>
      </c>
      <c r="H747">
        <v>55.92</v>
      </c>
      <c r="I747" t="s">
        <v>1412</v>
      </c>
      <c r="J747" t="s">
        <v>1414</v>
      </c>
      <c r="K747" t="s">
        <v>1415</v>
      </c>
      <c r="M747" t="s">
        <v>1416</v>
      </c>
      <c r="N747" t="s">
        <v>1341</v>
      </c>
    </row>
    <row r="748" spans="1:14" x14ac:dyDescent="0.2">
      <c r="A748">
        <v>10602</v>
      </c>
      <c r="B748" t="s">
        <v>1411</v>
      </c>
      <c r="C748">
        <v>8</v>
      </c>
      <c r="D748" s="19">
        <v>35628</v>
      </c>
      <c r="E748" s="19">
        <v>35656</v>
      </c>
      <c r="F748" s="19">
        <v>35633</v>
      </c>
      <c r="G748">
        <v>2</v>
      </c>
      <c r="H748">
        <v>2.92</v>
      </c>
      <c r="I748" t="s">
        <v>1412</v>
      </c>
      <c r="J748" t="s">
        <v>1414</v>
      </c>
      <c r="K748" t="s">
        <v>1415</v>
      </c>
      <c r="M748" t="s">
        <v>1416</v>
      </c>
      <c r="N748" t="s">
        <v>1341</v>
      </c>
    </row>
    <row r="749" spans="1:14" x14ac:dyDescent="0.2">
      <c r="A749">
        <v>10688</v>
      </c>
      <c r="B749" t="s">
        <v>1411</v>
      </c>
      <c r="C749">
        <v>4</v>
      </c>
      <c r="D749" s="19">
        <v>35704</v>
      </c>
      <c r="E749" s="19">
        <v>35718</v>
      </c>
      <c r="F749" s="19">
        <v>35710</v>
      </c>
      <c r="G749">
        <v>2</v>
      </c>
      <c r="H749">
        <v>299.08999999999997</v>
      </c>
      <c r="I749" t="s">
        <v>1412</v>
      </c>
      <c r="J749" t="s">
        <v>1414</v>
      </c>
      <c r="K749" t="s">
        <v>1415</v>
      </c>
      <c r="M749" t="s">
        <v>1416</v>
      </c>
      <c r="N749" t="s">
        <v>1341</v>
      </c>
    </row>
    <row r="750" spans="1:14" x14ac:dyDescent="0.2">
      <c r="A750">
        <v>10744</v>
      </c>
      <c r="B750" t="s">
        <v>1411</v>
      </c>
      <c r="C750">
        <v>6</v>
      </c>
      <c r="D750" s="19">
        <v>35751</v>
      </c>
      <c r="E750" s="19">
        <v>35779</v>
      </c>
      <c r="F750" s="19">
        <v>35758</v>
      </c>
      <c r="G750">
        <v>1</v>
      </c>
      <c r="H750">
        <v>69.19</v>
      </c>
      <c r="I750" t="s">
        <v>1412</v>
      </c>
      <c r="J750" t="s">
        <v>1414</v>
      </c>
      <c r="K750" t="s">
        <v>1415</v>
      </c>
      <c r="M750" t="s">
        <v>1416</v>
      </c>
      <c r="N750" t="s">
        <v>1341</v>
      </c>
    </row>
    <row r="751" spans="1:14" x14ac:dyDescent="0.2">
      <c r="A751">
        <v>10769</v>
      </c>
      <c r="B751" t="s">
        <v>1411</v>
      </c>
      <c r="C751">
        <v>3</v>
      </c>
      <c r="D751" s="19">
        <v>35772</v>
      </c>
      <c r="E751" s="19">
        <v>35800</v>
      </c>
      <c r="F751" s="19">
        <v>35776</v>
      </c>
      <c r="G751">
        <v>1</v>
      </c>
      <c r="H751">
        <v>65.06</v>
      </c>
      <c r="I751" t="s">
        <v>1412</v>
      </c>
      <c r="J751" t="s">
        <v>1414</v>
      </c>
      <c r="K751" t="s">
        <v>1415</v>
      </c>
      <c r="M751" t="s">
        <v>1416</v>
      </c>
      <c r="N751" t="s">
        <v>1341</v>
      </c>
    </row>
    <row r="752" spans="1:14" x14ac:dyDescent="0.2">
      <c r="A752">
        <v>10921</v>
      </c>
      <c r="B752" t="s">
        <v>1411</v>
      </c>
      <c r="C752">
        <v>1</v>
      </c>
      <c r="D752" s="19">
        <v>35857</v>
      </c>
      <c r="E752" s="19">
        <v>35899</v>
      </c>
      <c r="F752" s="19">
        <v>35863</v>
      </c>
      <c r="G752">
        <v>1</v>
      </c>
      <c r="H752">
        <v>176.48</v>
      </c>
      <c r="I752" t="s">
        <v>1412</v>
      </c>
      <c r="J752" t="s">
        <v>1414</v>
      </c>
      <c r="K752" t="s">
        <v>1415</v>
      </c>
      <c r="M752" t="s">
        <v>1416</v>
      </c>
      <c r="N752" t="s">
        <v>1341</v>
      </c>
    </row>
    <row r="753" spans="1:14" x14ac:dyDescent="0.2">
      <c r="A753">
        <v>10946</v>
      </c>
      <c r="B753" t="s">
        <v>1411</v>
      </c>
      <c r="C753">
        <v>1</v>
      </c>
      <c r="D753" s="19">
        <v>35866</v>
      </c>
      <c r="E753" s="19">
        <v>35894</v>
      </c>
      <c r="F753" s="19">
        <v>35873</v>
      </c>
      <c r="G753">
        <v>2</v>
      </c>
      <c r="H753">
        <v>27.2</v>
      </c>
      <c r="I753" t="s">
        <v>1412</v>
      </c>
      <c r="J753" t="s">
        <v>1414</v>
      </c>
      <c r="K753" t="s">
        <v>1415</v>
      </c>
      <c r="M753" t="s">
        <v>1416</v>
      </c>
      <c r="N753" t="s">
        <v>1341</v>
      </c>
    </row>
    <row r="754" spans="1:14" x14ac:dyDescent="0.2">
      <c r="A754">
        <v>10994</v>
      </c>
      <c r="B754" t="s">
        <v>1411</v>
      </c>
      <c r="C754">
        <v>2</v>
      </c>
      <c r="D754" s="19">
        <v>35887</v>
      </c>
      <c r="E754" s="19">
        <v>35901</v>
      </c>
      <c r="F754" s="19">
        <v>35894</v>
      </c>
      <c r="G754">
        <v>3</v>
      </c>
      <c r="H754">
        <v>65.53</v>
      </c>
      <c r="I754" t="s">
        <v>1412</v>
      </c>
      <c r="J754" t="s">
        <v>1414</v>
      </c>
      <c r="K754" t="s">
        <v>1415</v>
      </c>
      <c r="M754" t="s">
        <v>1416</v>
      </c>
      <c r="N754" t="s">
        <v>1341</v>
      </c>
    </row>
    <row r="755" spans="1:14" x14ac:dyDescent="0.2">
      <c r="A755">
        <v>10251</v>
      </c>
      <c r="B755" t="s">
        <v>1419</v>
      </c>
      <c r="C755">
        <v>3</v>
      </c>
      <c r="D755" s="19">
        <v>35254</v>
      </c>
      <c r="E755" s="19">
        <v>35282</v>
      </c>
      <c r="F755" s="19">
        <v>35261</v>
      </c>
      <c r="G755">
        <v>1</v>
      </c>
      <c r="H755">
        <v>41.34</v>
      </c>
      <c r="I755" t="s">
        <v>1420</v>
      </c>
      <c r="J755" t="s">
        <v>1422</v>
      </c>
      <c r="K755" t="s">
        <v>1423</v>
      </c>
      <c r="M755" t="s">
        <v>1424</v>
      </c>
      <c r="N755" t="s">
        <v>815</v>
      </c>
    </row>
    <row r="756" spans="1:14" x14ac:dyDescent="0.2">
      <c r="A756">
        <v>10334</v>
      </c>
      <c r="B756" t="s">
        <v>1419</v>
      </c>
      <c r="C756">
        <v>8</v>
      </c>
      <c r="D756" s="19">
        <v>35359</v>
      </c>
      <c r="E756" s="19">
        <v>35387</v>
      </c>
      <c r="F756" s="19">
        <v>35366</v>
      </c>
      <c r="G756">
        <v>2</v>
      </c>
      <c r="H756">
        <v>8.56</v>
      </c>
      <c r="I756" t="s">
        <v>1420</v>
      </c>
      <c r="J756" t="s">
        <v>1422</v>
      </c>
      <c r="K756" t="s">
        <v>1423</v>
      </c>
      <c r="M756" t="s">
        <v>1424</v>
      </c>
      <c r="N756" t="s">
        <v>815</v>
      </c>
    </row>
    <row r="757" spans="1:14" x14ac:dyDescent="0.2">
      <c r="A757">
        <v>10450</v>
      </c>
      <c r="B757" t="s">
        <v>1419</v>
      </c>
      <c r="C757">
        <v>8</v>
      </c>
      <c r="D757" s="19">
        <v>35480</v>
      </c>
      <c r="E757" s="19">
        <v>35508</v>
      </c>
      <c r="F757" s="19">
        <v>35500</v>
      </c>
      <c r="G757">
        <v>2</v>
      </c>
      <c r="H757">
        <v>7.23</v>
      </c>
      <c r="I757" t="s">
        <v>1420</v>
      </c>
      <c r="J757" t="s">
        <v>1422</v>
      </c>
      <c r="K757" t="s">
        <v>1423</v>
      </c>
      <c r="M757" t="s">
        <v>1424</v>
      </c>
      <c r="N757" t="s">
        <v>815</v>
      </c>
    </row>
    <row r="758" spans="1:14" x14ac:dyDescent="0.2">
      <c r="A758">
        <v>10459</v>
      </c>
      <c r="B758" t="s">
        <v>1419</v>
      </c>
      <c r="C758">
        <v>4</v>
      </c>
      <c r="D758" s="19">
        <v>35488</v>
      </c>
      <c r="E758" s="19">
        <v>35516</v>
      </c>
      <c r="F758" s="19">
        <v>35489</v>
      </c>
      <c r="G758">
        <v>2</v>
      </c>
      <c r="H758">
        <v>25.09</v>
      </c>
      <c r="I758" t="s">
        <v>1420</v>
      </c>
      <c r="J758" t="s">
        <v>1422</v>
      </c>
      <c r="K758" t="s">
        <v>1423</v>
      </c>
      <c r="M758" t="s">
        <v>1424</v>
      </c>
      <c r="N758" t="s">
        <v>815</v>
      </c>
    </row>
    <row r="759" spans="1:14" x14ac:dyDescent="0.2">
      <c r="A759">
        <v>10478</v>
      </c>
      <c r="B759" t="s">
        <v>1419</v>
      </c>
      <c r="C759">
        <v>2</v>
      </c>
      <c r="D759" s="19">
        <v>35507</v>
      </c>
      <c r="E759" s="19">
        <v>35521</v>
      </c>
      <c r="F759" s="19">
        <v>35515</v>
      </c>
      <c r="G759">
        <v>3</v>
      </c>
      <c r="H759">
        <v>4.8099999999999996</v>
      </c>
      <c r="I759" t="s">
        <v>1420</v>
      </c>
      <c r="J759" t="s">
        <v>1422</v>
      </c>
      <c r="K759" t="s">
        <v>1423</v>
      </c>
      <c r="M759" t="s">
        <v>1424</v>
      </c>
      <c r="N759" t="s">
        <v>815</v>
      </c>
    </row>
    <row r="760" spans="1:14" x14ac:dyDescent="0.2">
      <c r="A760">
        <v>10546</v>
      </c>
      <c r="B760" t="s">
        <v>1419</v>
      </c>
      <c r="C760">
        <v>1</v>
      </c>
      <c r="D760" s="19">
        <v>35573</v>
      </c>
      <c r="E760" s="19">
        <v>35601</v>
      </c>
      <c r="F760" s="19">
        <v>35577</v>
      </c>
      <c r="G760">
        <v>3</v>
      </c>
      <c r="H760">
        <v>194.72</v>
      </c>
      <c r="I760" t="s">
        <v>1420</v>
      </c>
      <c r="J760" t="s">
        <v>1422</v>
      </c>
      <c r="K760" t="s">
        <v>1423</v>
      </c>
      <c r="M760" t="s">
        <v>1424</v>
      </c>
      <c r="N760" t="s">
        <v>815</v>
      </c>
    </row>
    <row r="761" spans="1:14" x14ac:dyDescent="0.2">
      <c r="A761">
        <v>10806</v>
      </c>
      <c r="B761" t="s">
        <v>1419</v>
      </c>
      <c r="C761">
        <v>3</v>
      </c>
      <c r="D761" s="19">
        <v>35795</v>
      </c>
      <c r="E761" s="19">
        <v>35823</v>
      </c>
      <c r="F761" s="19">
        <v>35800</v>
      </c>
      <c r="G761">
        <v>2</v>
      </c>
      <c r="H761">
        <v>22.11</v>
      </c>
      <c r="I761" t="s">
        <v>1420</v>
      </c>
      <c r="J761" t="s">
        <v>1422</v>
      </c>
      <c r="K761" t="s">
        <v>1423</v>
      </c>
      <c r="M761" t="s">
        <v>1424</v>
      </c>
      <c r="N761" t="s">
        <v>815</v>
      </c>
    </row>
    <row r="762" spans="1:14" x14ac:dyDescent="0.2">
      <c r="A762">
        <v>10814</v>
      </c>
      <c r="B762" t="s">
        <v>1419</v>
      </c>
      <c r="C762">
        <v>3</v>
      </c>
      <c r="D762" s="19">
        <v>35800</v>
      </c>
      <c r="E762" s="19">
        <v>35828</v>
      </c>
      <c r="F762" s="19">
        <v>35809</v>
      </c>
      <c r="G762">
        <v>3</v>
      </c>
      <c r="H762">
        <v>130.94</v>
      </c>
      <c r="I762" t="s">
        <v>1420</v>
      </c>
      <c r="J762" t="s">
        <v>1422</v>
      </c>
      <c r="K762" t="s">
        <v>1423</v>
      </c>
      <c r="M762" t="s">
        <v>1424</v>
      </c>
      <c r="N762" t="s">
        <v>815</v>
      </c>
    </row>
    <row r="763" spans="1:14" x14ac:dyDescent="0.2">
      <c r="A763">
        <v>10843</v>
      </c>
      <c r="B763" t="s">
        <v>1419</v>
      </c>
      <c r="C763">
        <v>4</v>
      </c>
      <c r="D763" s="19">
        <v>35816</v>
      </c>
      <c r="E763" s="19">
        <v>35844</v>
      </c>
      <c r="F763" s="19">
        <v>35821</v>
      </c>
      <c r="G763">
        <v>2</v>
      </c>
      <c r="H763">
        <v>9.26</v>
      </c>
      <c r="I763" t="s">
        <v>1420</v>
      </c>
      <c r="J763" t="s">
        <v>1422</v>
      </c>
      <c r="K763" t="s">
        <v>1423</v>
      </c>
      <c r="M763" t="s">
        <v>1424</v>
      </c>
      <c r="N763" t="s">
        <v>815</v>
      </c>
    </row>
    <row r="764" spans="1:14" x14ac:dyDescent="0.2">
      <c r="A764">
        <v>10850</v>
      </c>
      <c r="B764" t="s">
        <v>1419</v>
      </c>
      <c r="C764">
        <v>1</v>
      </c>
      <c r="D764" s="19">
        <v>35818</v>
      </c>
      <c r="E764" s="19">
        <v>35860</v>
      </c>
      <c r="F764" s="19">
        <v>35825</v>
      </c>
      <c r="G764">
        <v>1</v>
      </c>
      <c r="H764">
        <v>49.19</v>
      </c>
      <c r="I764" t="s">
        <v>1420</v>
      </c>
      <c r="J764" t="s">
        <v>1422</v>
      </c>
      <c r="K764" t="s">
        <v>1423</v>
      </c>
      <c r="M764" t="s">
        <v>1424</v>
      </c>
      <c r="N764" t="s">
        <v>815</v>
      </c>
    </row>
    <row r="765" spans="1:14" x14ac:dyDescent="0.2">
      <c r="A765">
        <v>10274</v>
      </c>
      <c r="B765" t="s">
        <v>1427</v>
      </c>
      <c r="C765">
        <v>6</v>
      </c>
      <c r="D765" s="19">
        <v>35283</v>
      </c>
      <c r="E765" s="19">
        <v>35311</v>
      </c>
      <c r="F765" s="19">
        <v>35293</v>
      </c>
      <c r="G765">
        <v>1</v>
      </c>
      <c r="H765">
        <v>6.01</v>
      </c>
      <c r="I765" t="s">
        <v>1428</v>
      </c>
      <c r="J765" t="s">
        <v>1430</v>
      </c>
      <c r="K765" t="s">
        <v>1431</v>
      </c>
      <c r="M765" t="s">
        <v>1432</v>
      </c>
      <c r="N765" t="s">
        <v>815</v>
      </c>
    </row>
    <row r="766" spans="1:14" x14ac:dyDescent="0.2">
      <c r="A766">
        <v>10295</v>
      </c>
      <c r="B766" t="s">
        <v>1427</v>
      </c>
      <c r="C766">
        <v>2</v>
      </c>
      <c r="D766" s="19">
        <v>35310</v>
      </c>
      <c r="E766" s="19">
        <v>35338</v>
      </c>
      <c r="F766" s="19">
        <v>35318</v>
      </c>
      <c r="G766">
        <v>2</v>
      </c>
      <c r="H766">
        <v>1.1499999999999999</v>
      </c>
      <c r="I766" t="s">
        <v>1428</v>
      </c>
      <c r="J766" t="s">
        <v>1430</v>
      </c>
      <c r="K766" t="s">
        <v>1431</v>
      </c>
      <c r="M766" t="s">
        <v>1432</v>
      </c>
      <c r="N766" t="s">
        <v>815</v>
      </c>
    </row>
    <row r="767" spans="1:14" x14ac:dyDescent="0.2">
      <c r="A767">
        <v>10737</v>
      </c>
      <c r="B767" t="s">
        <v>1427</v>
      </c>
      <c r="C767">
        <v>2</v>
      </c>
      <c r="D767" s="19">
        <v>35745</v>
      </c>
      <c r="E767" s="19">
        <v>35773</v>
      </c>
      <c r="F767" s="19">
        <v>35752</v>
      </c>
      <c r="G767">
        <v>2</v>
      </c>
      <c r="H767">
        <v>7.79</v>
      </c>
      <c r="I767" t="s">
        <v>1428</v>
      </c>
      <c r="J767" t="s">
        <v>1430</v>
      </c>
      <c r="K767" t="s">
        <v>1431</v>
      </c>
      <c r="M767" t="s">
        <v>1432</v>
      </c>
      <c r="N767" t="s">
        <v>815</v>
      </c>
    </row>
    <row r="768" spans="1:14" x14ac:dyDescent="0.2">
      <c r="A768">
        <v>10739</v>
      </c>
      <c r="B768" t="s">
        <v>1427</v>
      </c>
      <c r="C768">
        <v>3</v>
      </c>
      <c r="D768" s="19">
        <v>35746</v>
      </c>
      <c r="E768" s="19">
        <v>35774</v>
      </c>
      <c r="F768" s="19">
        <v>35751</v>
      </c>
      <c r="G768">
        <v>3</v>
      </c>
      <c r="H768">
        <v>11.08</v>
      </c>
      <c r="I768" t="s">
        <v>1428</v>
      </c>
      <c r="J768" t="s">
        <v>1430</v>
      </c>
      <c r="K768" t="s">
        <v>1431</v>
      </c>
      <c r="M768" t="s">
        <v>1432</v>
      </c>
      <c r="N768" t="s">
        <v>815</v>
      </c>
    </row>
    <row r="769" spans="1:14" x14ac:dyDescent="0.2">
      <c r="A769">
        <v>10301</v>
      </c>
      <c r="B769" t="s">
        <v>1435</v>
      </c>
      <c r="C769">
        <v>8</v>
      </c>
      <c r="D769" s="19">
        <v>35317</v>
      </c>
      <c r="E769" s="19">
        <v>35345</v>
      </c>
      <c r="F769" s="19">
        <v>35325</v>
      </c>
      <c r="G769">
        <v>2</v>
      </c>
      <c r="H769">
        <v>45.08</v>
      </c>
      <c r="I769" t="s">
        <v>1436</v>
      </c>
      <c r="J769" t="s">
        <v>1438</v>
      </c>
      <c r="K769" t="s">
        <v>1439</v>
      </c>
      <c r="M769" t="s">
        <v>1440</v>
      </c>
      <c r="N769" t="s">
        <v>762</v>
      </c>
    </row>
    <row r="770" spans="1:14" x14ac:dyDescent="0.2">
      <c r="A770">
        <v>10312</v>
      </c>
      <c r="B770" t="s">
        <v>1435</v>
      </c>
      <c r="C770">
        <v>2</v>
      </c>
      <c r="D770" s="19">
        <v>35331</v>
      </c>
      <c r="E770" s="19">
        <v>35359</v>
      </c>
      <c r="F770" s="19">
        <v>35341</v>
      </c>
      <c r="G770">
        <v>2</v>
      </c>
      <c r="H770">
        <v>40.26</v>
      </c>
      <c r="I770" t="s">
        <v>1436</v>
      </c>
      <c r="J770" t="s">
        <v>1438</v>
      </c>
      <c r="K770" t="s">
        <v>1439</v>
      </c>
      <c r="M770" t="s">
        <v>1440</v>
      </c>
      <c r="N770" t="s">
        <v>762</v>
      </c>
    </row>
    <row r="771" spans="1:14" x14ac:dyDescent="0.2">
      <c r="A771">
        <v>10348</v>
      </c>
      <c r="B771" t="s">
        <v>1435</v>
      </c>
      <c r="C771">
        <v>4</v>
      </c>
      <c r="D771" s="19">
        <v>35376</v>
      </c>
      <c r="E771" s="19">
        <v>35404</v>
      </c>
      <c r="F771" s="19">
        <v>35384</v>
      </c>
      <c r="G771">
        <v>2</v>
      </c>
      <c r="H771">
        <v>0.78</v>
      </c>
      <c r="I771" t="s">
        <v>1436</v>
      </c>
      <c r="J771" t="s">
        <v>1438</v>
      </c>
      <c r="K771" t="s">
        <v>1439</v>
      </c>
      <c r="M771" t="s">
        <v>1440</v>
      </c>
      <c r="N771" t="s">
        <v>762</v>
      </c>
    </row>
    <row r="772" spans="1:14" x14ac:dyDescent="0.2">
      <c r="A772">
        <v>10356</v>
      </c>
      <c r="B772" t="s">
        <v>1435</v>
      </c>
      <c r="C772">
        <v>6</v>
      </c>
      <c r="D772" s="19">
        <v>35387</v>
      </c>
      <c r="E772" s="19">
        <v>35415</v>
      </c>
      <c r="F772" s="19">
        <v>35396</v>
      </c>
      <c r="G772">
        <v>2</v>
      </c>
      <c r="H772">
        <v>36.71</v>
      </c>
      <c r="I772" t="s">
        <v>1436</v>
      </c>
      <c r="J772" t="s">
        <v>1438</v>
      </c>
      <c r="K772" t="s">
        <v>1439</v>
      </c>
      <c r="M772" t="s">
        <v>1440</v>
      </c>
      <c r="N772" t="s">
        <v>762</v>
      </c>
    </row>
    <row r="773" spans="1:14" x14ac:dyDescent="0.2">
      <c r="A773">
        <v>10513</v>
      </c>
      <c r="B773" t="s">
        <v>1435</v>
      </c>
      <c r="C773">
        <v>7</v>
      </c>
      <c r="D773" s="19">
        <v>35542</v>
      </c>
      <c r="E773" s="19">
        <v>35584</v>
      </c>
      <c r="F773" s="19">
        <v>35548</v>
      </c>
      <c r="G773">
        <v>1</v>
      </c>
      <c r="H773">
        <v>105.65</v>
      </c>
      <c r="I773" t="s">
        <v>1436</v>
      </c>
      <c r="J773" t="s">
        <v>1438</v>
      </c>
      <c r="K773" t="s">
        <v>1439</v>
      </c>
      <c r="M773" t="s">
        <v>1440</v>
      </c>
      <c r="N773" t="s">
        <v>762</v>
      </c>
    </row>
    <row r="774" spans="1:14" x14ac:dyDescent="0.2">
      <c r="A774">
        <v>10632</v>
      </c>
      <c r="B774" t="s">
        <v>1435</v>
      </c>
      <c r="C774">
        <v>8</v>
      </c>
      <c r="D774" s="19">
        <v>35656</v>
      </c>
      <c r="E774" s="19">
        <v>35684</v>
      </c>
      <c r="F774" s="19">
        <v>35661</v>
      </c>
      <c r="G774">
        <v>1</v>
      </c>
      <c r="H774">
        <v>41.38</v>
      </c>
      <c r="I774" t="s">
        <v>1436</v>
      </c>
      <c r="J774" t="s">
        <v>1438</v>
      </c>
      <c r="K774" t="s">
        <v>1439</v>
      </c>
      <c r="M774" t="s">
        <v>1440</v>
      </c>
      <c r="N774" t="s">
        <v>762</v>
      </c>
    </row>
    <row r="775" spans="1:14" x14ac:dyDescent="0.2">
      <c r="A775">
        <v>10640</v>
      </c>
      <c r="B775" t="s">
        <v>1435</v>
      </c>
      <c r="C775">
        <v>4</v>
      </c>
      <c r="D775" s="19">
        <v>35663</v>
      </c>
      <c r="E775" s="19">
        <v>35691</v>
      </c>
      <c r="F775" s="19">
        <v>35670</v>
      </c>
      <c r="G775">
        <v>1</v>
      </c>
      <c r="H775">
        <v>23.55</v>
      </c>
      <c r="I775" t="s">
        <v>1436</v>
      </c>
      <c r="J775" t="s">
        <v>1438</v>
      </c>
      <c r="K775" t="s">
        <v>1439</v>
      </c>
      <c r="M775" t="s">
        <v>1440</v>
      </c>
      <c r="N775" t="s">
        <v>762</v>
      </c>
    </row>
    <row r="776" spans="1:14" x14ac:dyDescent="0.2">
      <c r="A776">
        <v>10651</v>
      </c>
      <c r="B776" t="s">
        <v>1435</v>
      </c>
      <c r="C776">
        <v>8</v>
      </c>
      <c r="D776" s="19">
        <v>35674</v>
      </c>
      <c r="E776" s="19">
        <v>35702</v>
      </c>
      <c r="F776" s="19">
        <v>35684</v>
      </c>
      <c r="G776">
        <v>2</v>
      </c>
      <c r="H776">
        <v>20.6</v>
      </c>
      <c r="I776" t="s">
        <v>1436</v>
      </c>
      <c r="J776" t="s">
        <v>1438</v>
      </c>
      <c r="K776" t="s">
        <v>1439</v>
      </c>
      <c r="M776" t="s">
        <v>1440</v>
      </c>
      <c r="N776" t="s">
        <v>762</v>
      </c>
    </row>
    <row r="777" spans="1:14" x14ac:dyDescent="0.2">
      <c r="A777">
        <v>10668</v>
      </c>
      <c r="B777" t="s">
        <v>1435</v>
      </c>
      <c r="C777">
        <v>1</v>
      </c>
      <c r="D777" s="19">
        <v>35688</v>
      </c>
      <c r="E777" s="19">
        <v>35716</v>
      </c>
      <c r="F777" s="19">
        <v>35696</v>
      </c>
      <c r="G777">
        <v>2</v>
      </c>
      <c r="H777">
        <v>47.22</v>
      </c>
      <c r="I777" t="s">
        <v>1436</v>
      </c>
      <c r="J777" t="s">
        <v>1438</v>
      </c>
      <c r="K777" t="s">
        <v>1439</v>
      </c>
      <c r="M777" t="s">
        <v>1440</v>
      </c>
      <c r="N777" t="s">
        <v>762</v>
      </c>
    </row>
    <row r="778" spans="1:14" x14ac:dyDescent="0.2">
      <c r="A778">
        <v>11046</v>
      </c>
      <c r="B778" t="s">
        <v>1435</v>
      </c>
      <c r="C778">
        <v>8</v>
      </c>
      <c r="D778" s="19">
        <v>35908</v>
      </c>
      <c r="E778" s="19">
        <v>35936</v>
      </c>
      <c r="F778" s="19">
        <v>35909</v>
      </c>
      <c r="G778">
        <v>2</v>
      </c>
      <c r="H778">
        <v>71.64</v>
      </c>
      <c r="I778" t="s">
        <v>1436</v>
      </c>
      <c r="J778" t="s">
        <v>1438</v>
      </c>
      <c r="K778" t="s">
        <v>1439</v>
      </c>
      <c r="M778" t="s">
        <v>1440</v>
      </c>
      <c r="N778" t="s">
        <v>762</v>
      </c>
    </row>
    <row r="779" spans="1:14" x14ac:dyDescent="0.2">
      <c r="A779">
        <v>10266</v>
      </c>
      <c r="B779" t="s">
        <v>1443</v>
      </c>
      <c r="C779">
        <v>3</v>
      </c>
      <c r="D779" s="19">
        <v>35272</v>
      </c>
      <c r="E779" s="19">
        <v>35314</v>
      </c>
      <c r="F779" s="19">
        <v>35277</v>
      </c>
      <c r="G779">
        <v>3</v>
      </c>
      <c r="H779">
        <v>25.73</v>
      </c>
      <c r="I779" t="s">
        <v>1444</v>
      </c>
      <c r="J779" t="s">
        <v>1446</v>
      </c>
      <c r="K779" t="s">
        <v>1447</v>
      </c>
      <c r="M779" t="s">
        <v>1448</v>
      </c>
      <c r="N779" t="s">
        <v>1449</v>
      </c>
    </row>
    <row r="780" spans="1:14" x14ac:dyDescent="0.2">
      <c r="A780">
        <v>10270</v>
      </c>
      <c r="B780" t="s">
        <v>1443</v>
      </c>
      <c r="C780">
        <v>1</v>
      </c>
      <c r="D780" s="19">
        <v>35278</v>
      </c>
      <c r="E780" s="19">
        <v>35306</v>
      </c>
      <c r="F780" s="19">
        <v>35279</v>
      </c>
      <c r="G780">
        <v>1</v>
      </c>
      <c r="H780">
        <v>136.54</v>
      </c>
      <c r="I780" t="s">
        <v>1444</v>
      </c>
      <c r="J780" t="s">
        <v>1446</v>
      </c>
      <c r="K780" t="s">
        <v>1447</v>
      </c>
      <c r="M780" t="s">
        <v>1448</v>
      </c>
      <c r="N780" t="s">
        <v>1449</v>
      </c>
    </row>
    <row r="781" spans="1:14" x14ac:dyDescent="0.2">
      <c r="A781">
        <v>10320</v>
      </c>
      <c r="B781" t="s">
        <v>1443</v>
      </c>
      <c r="C781">
        <v>5</v>
      </c>
      <c r="D781" s="19">
        <v>35341</v>
      </c>
      <c r="E781" s="19">
        <v>35355</v>
      </c>
      <c r="F781" s="19">
        <v>35356</v>
      </c>
      <c r="G781">
        <v>3</v>
      </c>
      <c r="H781">
        <v>34.57</v>
      </c>
      <c r="I781" t="s">
        <v>1444</v>
      </c>
      <c r="J781" t="s">
        <v>1446</v>
      </c>
      <c r="K781" t="s">
        <v>1447</v>
      </c>
      <c r="M781" t="s">
        <v>1448</v>
      </c>
      <c r="N781" t="s">
        <v>1449</v>
      </c>
    </row>
    <row r="782" spans="1:14" x14ac:dyDescent="0.2">
      <c r="A782">
        <v>10333</v>
      </c>
      <c r="B782" t="s">
        <v>1443</v>
      </c>
      <c r="C782">
        <v>5</v>
      </c>
      <c r="D782" s="19">
        <v>35356</v>
      </c>
      <c r="E782" s="19">
        <v>35384</v>
      </c>
      <c r="F782" s="19">
        <v>35363</v>
      </c>
      <c r="G782">
        <v>3</v>
      </c>
      <c r="H782">
        <v>0.59</v>
      </c>
      <c r="I782" t="s">
        <v>1444</v>
      </c>
      <c r="J782" t="s">
        <v>1446</v>
      </c>
      <c r="K782" t="s">
        <v>1447</v>
      </c>
      <c r="M782" t="s">
        <v>1448</v>
      </c>
      <c r="N782" t="s">
        <v>1449</v>
      </c>
    </row>
    <row r="783" spans="1:14" x14ac:dyDescent="0.2">
      <c r="A783">
        <v>10412</v>
      </c>
      <c r="B783" t="s">
        <v>1443</v>
      </c>
      <c r="C783">
        <v>8</v>
      </c>
      <c r="D783" s="19">
        <v>35443</v>
      </c>
      <c r="E783" s="19">
        <v>35471</v>
      </c>
      <c r="F783" s="19">
        <v>35445</v>
      </c>
      <c r="G783">
        <v>2</v>
      </c>
      <c r="H783">
        <v>3.77</v>
      </c>
      <c r="I783" t="s">
        <v>1444</v>
      </c>
      <c r="J783" t="s">
        <v>1446</v>
      </c>
      <c r="K783" t="s">
        <v>1447</v>
      </c>
      <c r="M783" t="s">
        <v>1448</v>
      </c>
      <c r="N783" t="s">
        <v>1449</v>
      </c>
    </row>
    <row r="784" spans="1:14" x14ac:dyDescent="0.2">
      <c r="A784">
        <v>10416</v>
      </c>
      <c r="B784" t="s">
        <v>1443</v>
      </c>
      <c r="C784">
        <v>8</v>
      </c>
      <c r="D784" s="19">
        <v>35446</v>
      </c>
      <c r="E784" s="19">
        <v>35474</v>
      </c>
      <c r="F784" s="19">
        <v>35457</v>
      </c>
      <c r="G784">
        <v>3</v>
      </c>
      <c r="H784">
        <v>22.72</v>
      </c>
      <c r="I784" t="s">
        <v>1444</v>
      </c>
      <c r="J784" t="s">
        <v>1446</v>
      </c>
      <c r="K784" t="s">
        <v>1447</v>
      </c>
      <c r="M784" t="s">
        <v>1448</v>
      </c>
      <c r="N784" t="s">
        <v>1449</v>
      </c>
    </row>
    <row r="785" spans="1:14" x14ac:dyDescent="0.2">
      <c r="A785">
        <v>10437</v>
      </c>
      <c r="B785" t="s">
        <v>1443</v>
      </c>
      <c r="C785">
        <v>8</v>
      </c>
      <c r="D785" s="19">
        <v>35466</v>
      </c>
      <c r="E785" s="19">
        <v>35494</v>
      </c>
      <c r="F785" s="19">
        <v>35473</v>
      </c>
      <c r="G785">
        <v>1</v>
      </c>
      <c r="H785">
        <v>19.97</v>
      </c>
      <c r="I785" t="s">
        <v>1444</v>
      </c>
      <c r="J785" t="s">
        <v>1446</v>
      </c>
      <c r="K785" t="s">
        <v>1447</v>
      </c>
      <c r="M785" t="s">
        <v>1448</v>
      </c>
      <c r="N785" t="s">
        <v>1449</v>
      </c>
    </row>
    <row r="786" spans="1:14" x14ac:dyDescent="0.2">
      <c r="A786">
        <v>10455</v>
      </c>
      <c r="B786" t="s">
        <v>1443</v>
      </c>
      <c r="C786">
        <v>8</v>
      </c>
      <c r="D786" s="19">
        <v>35485</v>
      </c>
      <c r="E786" s="19">
        <v>35527</v>
      </c>
      <c r="F786" s="19">
        <v>35492</v>
      </c>
      <c r="G786">
        <v>2</v>
      </c>
      <c r="H786">
        <v>180.45</v>
      </c>
      <c r="I786" t="s">
        <v>1444</v>
      </c>
      <c r="J786" t="s">
        <v>1446</v>
      </c>
      <c r="K786" t="s">
        <v>1447</v>
      </c>
      <c r="M786" t="s">
        <v>1448</v>
      </c>
      <c r="N786" t="s">
        <v>1449</v>
      </c>
    </row>
    <row r="787" spans="1:14" x14ac:dyDescent="0.2">
      <c r="A787">
        <v>10526</v>
      </c>
      <c r="B787" t="s">
        <v>1443</v>
      </c>
      <c r="C787">
        <v>4</v>
      </c>
      <c r="D787" s="19">
        <v>35555</v>
      </c>
      <c r="E787" s="19">
        <v>35583</v>
      </c>
      <c r="F787" s="19">
        <v>35565</v>
      </c>
      <c r="G787">
        <v>2</v>
      </c>
      <c r="H787">
        <v>58.59</v>
      </c>
      <c r="I787" t="s">
        <v>1444</v>
      </c>
      <c r="J787" t="s">
        <v>1446</v>
      </c>
      <c r="K787" t="s">
        <v>1447</v>
      </c>
      <c r="M787" t="s">
        <v>1448</v>
      </c>
      <c r="N787" t="s">
        <v>1449</v>
      </c>
    </row>
    <row r="788" spans="1:14" x14ac:dyDescent="0.2">
      <c r="A788">
        <v>10553</v>
      </c>
      <c r="B788" t="s">
        <v>1443</v>
      </c>
      <c r="C788">
        <v>2</v>
      </c>
      <c r="D788" s="19">
        <v>35580</v>
      </c>
      <c r="E788" s="19">
        <v>35608</v>
      </c>
      <c r="F788" s="19">
        <v>35584</v>
      </c>
      <c r="G788">
        <v>2</v>
      </c>
      <c r="H788">
        <v>149.49</v>
      </c>
      <c r="I788" t="s">
        <v>1444</v>
      </c>
      <c r="J788" t="s">
        <v>1446</v>
      </c>
      <c r="K788" t="s">
        <v>1447</v>
      </c>
      <c r="M788" t="s">
        <v>1448</v>
      </c>
      <c r="N788" t="s">
        <v>1449</v>
      </c>
    </row>
    <row r="789" spans="1:14" x14ac:dyDescent="0.2">
      <c r="A789">
        <v>10583</v>
      </c>
      <c r="B789" t="s">
        <v>1443</v>
      </c>
      <c r="C789">
        <v>2</v>
      </c>
      <c r="D789" s="19">
        <v>35611</v>
      </c>
      <c r="E789" s="19">
        <v>35639</v>
      </c>
      <c r="F789" s="19">
        <v>35615</v>
      </c>
      <c r="G789">
        <v>2</v>
      </c>
      <c r="H789">
        <v>7.28</v>
      </c>
      <c r="I789" t="s">
        <v>1444</v>
      </c>
      <c r="J789" t="s">
        <v>1446</v>
      </c>
      <c r="K789" t="s">
        <v>1447</v>
      </c>
      <c r="M789" t="s">
        <v>1448</v>
      </c>
      <c r="N789" t="s">
        <v>1449</v>
      </c>
    </row>
    <row r="790" spans="1:14" x14ac:dyDescent="0.2">
      <c r="A790">
        <v>10636</v>
      </c>
      <c r="B790" t="s">
        <v>1443</v>
      </c>
      <c r="C790">
        <v>4</v>
      </c>
      <c r="D790" s="19">
        <v>35661</v>
      </c>
      <c r="E790" s="19">
        <v>35689</v>
      </c>
      <c r="F790" s="19">
        <v>35668</v>
      </c>
      <c r="G790">
        <v>1</v>
      </c>
      <c r="H790">
        <v>1.1499999999999999</v>
      </c>
      <c r="I790" t="s">
        <v>1444</v>
      </c>
      <c r="J790" t="s">
        <v>1446</v>
      </c>
      <c r="K790" t="s">
        <v>1447</v>
      </c>
      <c r="M790" t="s">
        <v>1448</v>
      </c>
      <c r="N790" t="s">
        <v>1449</v>
      </c>
    </row>
    <row r="791" spans="1:14" x14ac:dyDescent="0.2">
      <c r="A791">
        <v>10750</v>
      </c>
      <c r="B791" t="s">
        <v>1443</v>
      </c>
      <c r="C791">
        <v>9</v>
      </c>
      <c r="D791" s="19">
        <v>35755</v>
      </c>
      <c r="E791" s="19">
        <v>35783</v>
      </c>
      <c r="F791" s="19">
        <v>35758</v>
      </c>
      <c r="G791">
        <v>1</v>
      </c>
      <c r="H791">
        <v>79.3</v>
      </c>
      <c r="I791" t="s">
        <v>1444</v>
      </c>
      <c r="J791" t="s">
        <v>1446</v>
      </c>
      <c r="K791" t="s">
        <v>1447</v>
      </c>
      <c r="M791" t="s">
        <v>1448</v>
      </c>
      <c r="N791" t="s">
        <v>1449</v>
      </c>
    </row>
    <row r="792" spans="1:14" x14ac:dyDescent="0.2">
      <c r="A792">
        <v>10781</v>
      </c>
      <c r="B792" t="s">
        <v>1443</v>
      </c>
      <c r="C792">
        <v>2</v>
      </c>
      <c r="D792" s="19">
        <v>35781</v>
      </c>
      <c r="E792" s="19">
        <v>35809</v>
      </c>
      <c r="F792" s="19">
        <v>35783</v>
      </c>
      <c r="G792">
        <v>3</v>
      </c>
      <c r="H792">
        <v>73.16</v>
      </c>
      <c r="I792" t="s">
        <v>1444</v>
      </c>
      <c r="J792" t="s">
        <v>1446</v>
      </c>
      <c r="K792" t="s">
        <v>1447</v>
      </c>
      <c r="M792" t="s">
        <v>1448</v>
      </c>
      <c r="N792" t="s">
        <v>1449</v>
      </c>
    </row>
    <row r="793" spans="1:14" x14ac:dyDescent="0.2">
      <c r="A793">
        <v>11025</v>
      </c>
      <c r="B793" t="s">
        <v>1443</v>
      </c>
      <c r="C793">
        <v>6</v>
      </c>
      <c r="D793" s="19">
        <v>35900</v>
      </c>
      <c r="E793" s="19">
        <v>35928</v>
      </c>
      <c r="F793" s="19">
        <v>35909</v>
      </c>
      <c r="G793">
        <v>3</v>
      </c>
      <c r="H793">
        <v>29.17</v>
      </c>
      <c r="I793" t="s">
        <v>1444</v>
      </c>
      <c r="J793" t="s">
        <v>1446</v>
      </c>
      <c r="K793" t="s">
        <v>1447</v>
      </c>
      <c r="M793" t="s">
        <v>1448</v>
      </c>
      <c r="N793" t="s">
        <v>1449</v>
      </c>
    </row>
    <row r="794" spans="1:14" x14ac:dyDescent="0.2">
      <c r="A794">
        <v>10256</v>
      </c>
      <c r="B794" t="s">
        <v>1451</v>
      </c>
      <c r="C794">
        <v>3</v>
      </c>
      <c r="D794" s="19">
        <v>35261</v>
      </c>
      <c r="E794" s="19">
        <v>35289</v>
      </c>
      <c r="F794" s="19">
        <v>35263</v>
      </c>
      <c r="G794">
        <v>2</v>
      </c>
      <c r="H794">
        <v>13.97</v>
      </c>
      <c r="I794" t="s">
        <v>1452</v>
      </c>
      <c r="J794" t="s">
        <v>1454</v>
      </c>
      <c r="K794" t="s">
        <v>1455</v>
      </c>
      <c r="L794" t="s">
        <v>883</v>
      </c>
      <c r="M794" t="s">
        <v>1456</v>
      </c>
      <c r="N794" t="s">
        <v>885</v>
      </c>
    </row>
    <row r="795" spans="1:14" x14ac:dyDescent="0.2">
      <c r="A795">
        <v>10420</v>
      </c>
      <c r="B795" t="s">
        <v>1451</v>
      </c>
      <c r="C795">
        <v>3</v>
      </c>
      <c r="D795" s="19">
        <v>35451</v>
      </c>
      <c r="E795" s="19">
        <v>35479</v>
      </c>
      <c r="F795" s="19">
        <v>35457</v>
      </c>
      <c r="G795">
        <v>1</v>
      </c>
      <c r="H795">
        <v>44.12</v>
      </c>
      <c r="I795" t="s">
        <v>1452</v>
      </c>
      <c r="J795" t="s">
        <v>1454</v>
      </c>
      <c r="K795" t="s">
        <v>1455</v>
      </c>
      <c r="L795" t="s">
        <v>883</v>
      </c>
      <c r="M795" t="s">
        <v>1456</v>
      </c>
      <c r="N795" t="s">
        <v>885</v>
      </c>
    </row>
    <row r="796" spans="1:14" x14ac:dyDescent="0.2">
      <c r="A796">
        <v>10585</v>
      </c>
      <c r="B796" t="s">
        <v>1451</v>
      </c>
      <c r="C796">
        <v>7</v>
      </c>
      <c r="D796" s="19">
        <v>35612</v>
      </c>
      <c r="E796" s="19">
        <v>35640</v>
      </c>
      <c r="F796" s="19">
        <v>35621</v>
      </c>
      <c r="G796">
        <v>1</v>
      </c>
      <c r="H796">
        <v>13.41</v>
      </c>
      <c r="I796" t="s">
        <v>1452</v>
      </c>
      <c r="J796" t="s">
        <v>1454</v>
      </c>
      <c r="K796" t="s">
        <v>1455</v>
      </c>
      <c r="L796" t="s">
        <v>883</v>
      </c>
      <c r="M796" t="s">
        <v>1456</v>
      </c>
      <c r="N796" t="s">
        <v>885</v>
      </c>
    </row>
    <row r="797" spans="1:14" x14ac:dyDescent="0.2">
      <c r="A797">
        <v>10644</v>
      </c>
      <c r="B797" t="s">
        <v>1451</v>
      </c>
      <c r="C797">
        <v>3</v>
      </c>
      <c r="D797" s="19">
        <v>35667</v>
      </c>
      <c r="E797" s="19">
        <v>35695</v>
      </c>
      <c r="F797" s="19">
        <v>35674</v>
      </c>
      <c r="G797">
        <v>2</v>
      </c>
      <c r="H797">
        <v>0.14000000000000001</v>
      </c>
      <c r="I797" t="s">
        <v>1452</v>
      </c>
      <c r="J797" t="s">
        <v>1454</v>
      </c>
      <c r="K797" t="s">
        <v>1455</v>
      </c>
      <c r="L797" t="s">
        <v>883</v>
      </c>
      <c r="M797" t="s">
        <v>1456</v>
      </c>
      <c r="N797" t="s">
        <v>885</v>
      </c>
    </row>
    <row r="798" spans="1:14" x14ac:dyDescent="0.2">
      <c r="A798">
        <v>10803</v>
      </c>
      <c r="B798" t="s">
        <v>1451</v>
      </c>
      <c r="C798">
        <v>4</v>
      </c>
      <c r="D798" s="19">
        <v>35794</v>
      </c>
      <c r="E798" s="19">
        <v>35822</v>
      </c>
      <c r="F798" s="19">
        <v>35801</v>
      </c>
      <c r="G798">
        <v>1</v>
      </c>
      <c r="H798">
        <v>55.23</v>
      </c>
      <c r="I798" t="s">
        <v>1452</v>
      </c>
      <c r="J798" t="s">
        <v>1454</v>
      </c>
      <c r="K798" t="s">
        <v>1455</v>
      </c>
      <c r="L798" t="s">
        <v>883</v>
      </c>
      <c r="M798" t="s">
        <v>1456</v>
      </c>
      <c r="N798" t="s">
        <v>885</v>
      </c>
    </row>
    <row r="799" spans="1:14" x14ac:dyDescent="0.2">
      <c r="A799">
        <v>10809</v>
      </c>
      <c r="B799" t="s">
        <v>1451</v>
      </c>
      <c r="C799">
        <v>7</v>
      </c>
      <c r="D799" s="19">
        <v>35796</v>
      </c>
      <c r="E799" s="19">
        <v>35824</v>
      </c>
      <c r="F799" s="19">
        <v>35802</v>
      </c>
      <c r="G799">
        <v>1</v>
      </c>
      <c r="H799">
        <v>4.87</v>
      </c>
      <c r="I799" t="s">
        <v>1452</v>
      </c>
      <c r="J799" t="s">
        <v>1454</v>
      </c>
      <c r="K799" t="s">
        <v>1455</v>
      </c>
      <c r="L799" t="s">
        <v>883</v>
      </c>
      <c r="M799" t="s">
        <v>1456</v>
      </c>
      <c r="N799" t="s">
        <v>885</v>
      </c>
    </row>
    <row r="800" spans="1:14" x14ac:dyDescent="0.2">
      <c r="A800">
        <v>10900</v>
      </c>
      <c r="B800" t="s">
        <v>1451</v>
      </c>
      <c r="C800">
        <v>1</v>
      </c>
      <c r="D800" s="19">
        <v>35846</v>
      </c>
      <c r="E800" s="19">
        <v>35874</v>
      </c>
      <c r="F800" s="19">
        <v>35858</v>
      </c>
      <c r="G800">
        <v>2</v>
      </c>
      <c r="H800">
        <v>1.66</v>
      </c>
      <c r="I800" t="s">
        <v>1452</v>
      </c>
      <c r="J800" t="s">
        <v>1454</v>
      </c>
      <c r="K800" t="s">
        <v>1455</v>
      </c>
      <c r="L800" t="s">
        <v>883</v>
      </c>
      <c r="M800" t="s">
        <v>1456</v>
      </c>
      <c r="N800" t="s">
        <v>885</v>
      </c>
    </row>
    <row r="801" spans="1:14" x14ac:dyDescent="0.2">
      <c r="A801">
        <v>10905</v>
      </c>
      <c r="B801" t="s">
        <v>1451</v>
      </c>
      <c r="C801">
        <v>9</v>
      </c>
      <c r="D801" s="19">
        <v>35850</v>
      </c>
      <c r="E801" s="19">
        <v>35878</v>
      </c>
      <c r="F801" s="19">
        <v>35860</v>
      </c>
      <c r="G801">
        <v>2</v>
      </c>
      <c r="H801">
        <v>13.72</v>
      </c>
      <c r="I801" t="s">
        <v>1452</v>
      </c>
      <c r="J801" t="s">
        <v>1454</v>
      </c>
      <c r="K801" t="s">
        <v>1455</v>
      </c>
      <c r="L801" t="s">
        <v>883</v>
      </c>
      <c r="M801" t="s">
        <v>1456</v>
      </c>
      <c r="N801" t="s">
        <v>885</v>
      </c>
    </row>
    <row r="802" spans="1:14" x14ac:dyDescent="0.2">
      <c r="A802">
        <v>10935</v>
      </c>
      <c r="B802" t="s">
        <v>1451</v>
      </c>
      <c r="C802">
        <v>4</v>
      </c>
      <c r="D802" s="19">
        <v>35863</v>
      </c>
      <c r="E802" s="19">
        <v>35891</v>
      </c>
      <c r="F802" s="19">
        <v>35872</v>
      </c>
      <c r="G802">
        <v>3</v>
      </c>
      <c r="H802">
        <v>47.59</v>
      </c>
      <c r="I802" t="s">
        <v>1452</v>
      </c>
      <c r="J802" t="s">
        <v>1454</v>
      </c>
      <c r="K802" t="s">
        <v>1455</v>
      </c>
      <c r="L802" t="s">
        <v>883</v>
      </c>
      <c r="M802" t="s">
        <v>1456</v>
      </c>
      <c r="N802" t="s">
        <v>885</v>
      </c>
    </row>
    <row r="803" spans="1:14" x14ac:dyDescent="0.2">
      <c r="A803">
        <v>10269</v>
      </c>
      <c r="B803" t="s">
        <v>1458</v>
      </c>
      <c r="C803">
        <v>5</v>
      </c>
      <c r="D803" s="19">
        <v>35277</v>
      </c>
      <c r="E803" s="19">
        <v>35291</v>
      </c>
      <c r="F803" s="19">
        <v>35286</v>
      </c>
      <c r="G803">
        <v>1</v>
      </c>
      <c r="H803">
        <v>4.5599999999999996</v>
      </c>
      <c r="I803" t="s">
        <v>1459</v>
      </c>
      <c r="J803" t="s">
        <v>1498</v>
      </c>
      <c r="K803" t="s">
        <v>1462</v>
      </c>
      <c r="L803" t="s">
        <v>1109</v>
      </c>
      <c r="M803" t="s">
        <v>1499</v>
      </c>
      <c r="N803" t="s">
        <v>1018</v>
      </c>
    </row>
    <row r="804" spans="1:14" x14ac:dyDescent="0.2">
      <c r="A804">
        <v>10344</v>
      </c>
      <c r="B804" t="s">
        <v>1458</v>
      </c>
      <c r="C804">
        <v>4</v>
      </c>
      <c r="D804" s="19">
        <v>35370</v>
      </c>
      <c r="E804" s="19">
        <v>35398</v>
      </c>
      <c r="F804" s="19">
        <v>35374</v>
      </c>
      <c r="G804">
        <v>2</v>
      </c>
      <c r="H804">
        <v>23.29</v>
      </c>
      <c r="I804" t="s">
        <v>1459</v>
      </c>
      <c r="J804" t="s">
        <v>1498</v>
      </c>
      <c r="K804" t="s">
        <v>1462</v>
      </c>
      <c r="L804" t="s">
        <v>1109</v>
      </c>
      <c r="M804" t="s">
        <v>1499</v>
      </c>
      <c r="N804" t="s">
        <v>1018</v>
      </c>
    </row>
    <row r="805" spans="1:14" x14ac:dyDescent="0.2">
      <c r="A805">
        <v>10469</v>
      </c>
      <c r="B805" t="s">
        <v>1458</v>
      </c>
      <c r="C805">
        <v>1</v>
      </c>
      <c r="D805" s="19">
        <v>35499</v>
      </c>
      <c r="E805" s="19">
        <v>35527</v>
      </c>
      <c r="F805" s="19">
        <v>35503</v>
      </c>
      <c r="G805">
        <v>1</v>
      </c>
      <c r="H805">
        <v>60.18</v>
      </c>
      <c r="I805" t="s">
        <v>1459</v>
      </c>
      <c r="J805" t="s">
        <v>1498</v>
      </c>
      <c r="K805" t="s">
        <v>1462</v>
      </c>
      <c r="L805" t="s">
        <v>1109</v>
      </c>
      <c r="M805" t="s">
        <v>1499</v>
      </c>
      <c r="N805" t="s">
        <v>1018</v>
      </c>
    </row>
    <row r="806" spans="1:14" x14ac:dyDescent="0.2">
      <c r="A806">
        <v>10483</v>
      </c>
      <c r="B806" t="s">
        <v>1458</v>
      </c>
      <c r="C806">
        <v>7</v>
      </c>
      <c r="D806" s="19">
        <v>35513</v>
      </c>
      <c r="E806" s="19">
        <v>35541</v>
      </c>
      <c r="F806" s="19">
        <v>35545</v>
      </c>
      <c r="G806">
        <v>2</v>
      </c>
      <c r="H806">
        <v>15.28</v>
      </c>
      <c r="I806" t="s">
        <v>1459</v>
      </c>
      <c r="J806" t="s">
        <v>1498</v>
      </c>
      <c r="K806" t="s">
        <v>1462</v>
      </c>
      <c r="L806" t="s">
        <v>1109</v>
      </c>
      <c r="M806" t="s">
        <v>1499</v>
      </c>
      <c r="N806" t="s">
        <v>1018</v>
      </c>
    </row>
    <row r="807" spans="1:14" x14ac:dyDescent="0.2">
      <c r="A807">
        <v>10504</v>
      </c>
      <c r="B807" t="s">
        <v>1458</v>
      </c>
      <c r="C807">
        <v>4</v>
      </c>
      <c r="D807" s="19">
        <v>35531</v>
      </c>
      <c r="E807" s="19">
        <v>35559</v>
      </c>
      <c r="F807" s="19">
        <v>35538</v>
      </c>
      <c r="G807">
        <v>3</v>
      </c>
      <c r="H807">
        <v>59.13</v>
      </c>
      <c r="I807" t="s">
        <v>1459</v>
      </c>
      <c r="J807" t="s">
        <v>1498</v>
      </c>
      <c r="K807" t="s">
        <v>1462</v>
      </c>
      <c r="L807" t="s">
        <v>1109</v>
      </c>
      <c r="M807" t="s">
        <v>1499</v>
      </c>
      <c r="N807" t="s">
        <v>1018</v>
      </c>
    </row>
    <row r="808" spans="1:14" x14ac:dyDescent="0.2">
      <c r="A808">
        <v>10596</v>
      </c>
      <c r="B808" t="s">
        <v>1458</v>
      </c>
      <c r="C808">
        <v>8</v>
      </c>
      <c r="D808" s="19">
        <v>35622</v>
      </c>
      <c r="E808" s="19">
        <v>35650</v>
      </c>
      <c r="F808" s="19">
        <v>35654</v>
      </c>
      <c r="G808">
        <v>1</v>
      </c>
      <c r="H808">
        <v>16.34</v>
      </c>
      <c r="I808" t="s">
        <v>1459</v>
      </c>
      <c r="J808" t="s">
        <v>1498</v>
      </c>
      <c r="K808" t="s">
        <v>1462</v>
      </c>
      <c r="L808" t="s">
        <v>1109</v>
      </c>
      <c r="M808" t="s">
        <v>1499</v>
      </c>
      <c r="N808" t="s">
        <v>1018</v>
      </c>
    </row>
    <row r="809" spans="1:14" x14ac:dyDescent="0.2">
      <c r="A809">
        <v>10693</v>
      </c>
      <c r="B809" t="s">
        <v>1458</v>
      </c>
      <c r="C809">
        <v>3</v>
      </c>
      <c r="D809" s="19">
        <v>35709</v>
      </c>
      <c r="E809" s="19">
        <v>35723</v>
      </c>
      <c r="F809" s="19">
        <v>35713</v>
      </c>
      <c r="G809">
        <v>3</v>
      </c>
      <c r="H809">
        <v>139.34</v>
      </c>
      <c r="I809" t="s">
        <v>1459</v>
      </c>
      <c r="J809" t="s">
        <v>1498</v>
      </c>
      <c r="K809" t="s">
        <v>1462</v>
      </c>
      <c r="L809" t="s">
        <v>1109</v>
      </c>
      <c r="M809" t="s">
        <v>1499</v>
      </c>
      <c r="N809" t="s">
        <v>1018</v>
      </c>
    </row>
    <row r="810" spans="1:14" x14ac:dyDescent="0.2">
      <c r="A810">
        <v>10696</v>
      </c>
      <c r="B810" t="s">
        <v>1458</v>
      </c>
      <c r="C810">
        <v>8</v>
      </c>
      <c r="D810" s="19">
        <v>35711</v>
      </c>
      <c r="E810" s="19">
        <v>35753</v>
      </c>
      <c r="F810" s="19">
        <v>35717</v>
      </c>
      <c r="G810">
        <v>3</v>
      </c>
      <c r="H810">
        <v>102.55</v>
      </c>
      <c r="I810" t="s">
        <v>1459</v>
      </c>
      <c r="J810" t="s">
        <v>1498</v>
      </c>
      <c r="K810" t="s">
        <v>1462</v>
      </c>
      <c r="L810" t="s">
        <v>1109</v>
      </c>
      <c r="M810" t="s">
        <v>1499</v>
      </c>
      <c r="N810" t="s">
        <v>1018</v>
      </c>
    </row>
    <row r="811" spans="1:14" x14ac:dyDescent="0.2">
      <c r="A811">
        <v>10723</v>
      </c>
      <c r="B811" t="s">
        <v>1458</v>
      </c>
      <c r="C811">
        <v>3</v>
      </c>
      <c r="D811" s="19">
        <v>35733</v>
      </c>
      <c r="E811" s="19">
        <v>35761</v>
      </c>
      <c r="F811" s="19">
        <v>35759</v>
      </c>
      <c r="G811">
        <v>1</v>
      </c>
      <c r="H811">
        <v>21.72</v>
      </c>
      <c r="I811" t="s">
        <v>1459</v>
      </c>
      <c r="J811" t="s">
        <v>1498</v>
      </c>
      <c r="K811" t="s">
        <v>1462</v>
      </c>
      <c r="L811" t="s">
        <v>1109</v>
      </c>
      <c r="M811" t="s">
        <v>1499</v>
      </c>
      <c r="N811" t="s">
        <v>1018</v>
      </c>
    </row>
    <row r="812" spans="1:14" x14ac:dyDescent="0.2">
      <c r="A812">
        <v>10740</v>
      </c>
      <c r="B812" t="s">
        <v>1458</v>
      </c>
      <c r="C812">
        <v>4</v>
      </c>
      <c r="D812" s="19">
        <v>35747</v>
      </c>
      <c r="E812" s="19">
        <v>35775</v>
      </c>
      <c r="F812" s="19">
        <v>35759</v>
      </c>
      <c r="G812">
        <v>2</v>
      </c>
      <c r="H812">
        <v>81.88</v>
      </c>
      <c r="I812" t="s">
        <v>1459</v>
      </c>
      <c r="J812" t="s">
        <v>1498</v>
      </c>
      <c r="K812" t="s">
        <v>1462</v>
      </c>
      <c r="L812" t="s">
        <v>1109</v>
      </c>
      <c r="M812" t="s">
        <v>1499</v>
      </c>
      <c r="N812" t="s">
        <v>1018</v>
      </c>
    </row>
    <row r="813" spans="1:14" x14ac:dyDescent="0.2">
      <c r="A813">
        <v>10861</v>
      </c>
      <c r="B813" t="s">
        <v>1458</v>
      </c>
      <c r="C813">
        <v>4</v>
      </c>
      <c r="D813" s="19">
        <v>35825</v>
      </c>
      <c r="E813" s="19">
        <v>35853</v>
      </c>
      <c r="F813" s="19">
        <v>35843</v>
      </c>
      <c r="G813">
        <v>2</v>
      </c>
      <c r="H813">
        <v>14.93</v>
      </c>
      <c r="I813" t="s">
        <v>1459</v>
      </c>
      <c r="J813" t="s">
        <v>1498</v>
      </c>
      <c r="K813" t="s">
        <v>1462</v>
      </c>
      <c r="L813" t="s">
        <v>1109</v>
      </c>
      <c r="M813" t="s">
        <v>1499</v>
      </c>
      <c r="N813" t="s">
        <v>1018</v>
      </c>
    </row>
    <row r="814" spans="1:14" x14ac:dyDescent="0.2">
      <c r="A814">
        <v>10904</v>
      </c>
      <c r="B814" t="s">
        <v>1458</v>
      </c>
      <c r="C814">
        <v>3</v>
      </c>
      <c r="D814" s="19">
        <v>35850</v>
      </c>
      <c r="E814" s="19">
        <v>35878</v>
      </c>
      <c r="F814" s="19">
        <v>35853</v>
      </c>
      <c r="G814">
        <v>3</v>
      </c>
      <c r="H814">
        <v>162.94999999999999</v>
      </c>
      <c r="I814" t="s">
        <v>1459</v>
      </c>
      <c r="J814" t="s">
        <v>1498</v>
      </c>
      <c r="K814" t="s">
        <v>1462</v>
      </c>
      <c r="L814" t="s">
        <v>1109</v>
      </c>
      <c r="M814" t="s">
        <v>1499</v>
      </c>
      <c r="N814" t="s">
        <v>1018</v>
      </c>
    </row>
    <row r="815" spans="1:14" x14ac:dyDescent="0.2">
      <c r="A815">
        <v>11032</v>
      </c>
      <c r="B815" t="s">
        <v>1458</v>
      </c>
      <c r="C815">
        <v>2</v>
      </c>
      <c r="D815" s="19">
        <v>35902</v>
      </c>
      <c r="E815" s="19">
        <v>35930</v>
      </c>
      <c r="F815" s="19">
        <v>35908</v>
      </c>
      <c r="G815">
        <v>3</v>
      </c>
      <c r="H815">
        <v>606.19000000000005</v>
      </c>
      <c r="I815" t="s">
        <v>1459</v>
      </c>
      <c r="J815" t="s">
        <v>1498</v>
      </c>
      <c r="K815" t="s">
        <v>1462</v>
      </c>
      <c r="L815" t="s">
        <v>1109</v>
      </c>
      <c r="M815" t="s">
        <v>1499</v>
      </c>
      <c r="N815" t="s">
        <v>1018</v>
      </c>
    </row>
    <row r="816" spans="1:14" x14ac:dyDescent="0.2">
      <c r="A816">
        <v>11066</v>
      </c>
      <c r="B816" t="s">
        <v>1458</v>
      </c>
      <c r="C816">
        <v>7</v>
      </c>
      <c r="D816" s="19">
        <v>35916</v>
      </c>
      <c r="E816" s="19">
        <v>35944</v>
      </c>
      <c r="F816" s="19">
        <v>35919</v>
      </c>
      <c r="G816">
        <v>2</v>
      </c>
      <c r="H816">
        <v>44.72</v>
      </c>
      <c r="I816" t="s">
        <v>1459</v>
      </c>
      <c r="J816" t="s">
        <v>1498</v>
      </c>
      <c r="K816" t="s">
        <v>1462</v>
      </c>
      <c r="L816" t="s">
        <v>1109</v>
      </c>
      <c r="M816" t="s">
        <v>1499</v>
      </c>
      <c r="N816" t="s">
        <v>1018</v>
      </c>
    </row>
    <row r="817" spans="1:14" x14ac:dyDescent="0.2">
      <c r="A817">
        <v>10248</v>
      </c>
      <c r="B817" t="s">
        <v>1466</v>
      </c>
      <c r="C817">
        <v>5</v>
      </c>
      <c r="D817" s="19">
        <v>35250</v>
      </c>
      <c r="E817" s="19">
        <v>35278</v>
      </c>
      <c r="F817" s="19">
        <v>35262</v>
      </c>
      <c r="G817">
        <v>3</v>
      </c>
      <c r="H817">
        <v>32.380000000000003</v>
      </c>
      <c r="I817" t="s">
        <v>1428</v>
      </c>
      <c r="J817" t="s">
        <v>1430</v>
      </c>
      <c r="K817" t="s">
        <v>1431</v>
      </c>
      <c r="M817" t="s">
        <v>1432</v>
      </c>
      <c r="N817" t="s">
        <v>815</v>
      </c>
    </row>
    <row r="818" spans="1:14" x14ac:dyDescent="0.2">
      <c r="A818">
        <v>10615</v>
      </c>
      <c r="B818" t="s">
        <v>1466</v>
      </c>
      <c r="C818">
        <v>2</v>
      </c>
      <c r="D818" s="19">
        <v>35641</v>
      </c>
      <c r="E818" s="19">
        <v>35669</v>
      </c>
      <c r="F818" s="19">
        <v>35648</v>
      </c>
      <c r="G818">
        <v>3</v>
      </c>
      <c r="H818">
        <v>0.75</v>
      </c>
      <c r="I818" t="s">
        <v>1467</v>
      </c>
      <c r="J818" t="s">
        <v>1470</v>
      </c>
      <c r="K818" t="s">
        <v>1471</v>
      </c>
      <c r="M818" t="s">
        <v>1472</v>
      </c>
      <c r="N818" t="s">
        <v>1449</v>
      </c>
    </row>
    <row r="819" spans="1:14" x14ac:dyDescent="0.2">
      <c r="A819">
        <v>10673</v>
      </c>
      <c r="B819" t="s">
        <v>1466</v>
      </c>
      <c r="C819">
        <v>2</v>
      </c>
      <c r="D819" s="19">
        <v>35691</v>
      </c>
      <c r="E819" s="19">
        <v>35719</v>
      </c>
      <c r="F819" s="19">
        <v>35692</v>
      </c>
      <c r="G819">
        <v>1</v>
      </c>
      <c r="H819">
        <v>22.76</v>
      </c>
      <c r="I819" t="s">
        <v>1467</v>
      </c>
      <c r="J819" t="s">
        <v>1470</v>
      </c>
      <c r="K819" t="s">
        <v>1471</v>
      </c>
      <c r="M819" t="s">
        <v>1472</v>
      </c>
      <c r="N819" t="s">
        <v>1449</v>
      </c>
    </row>
    <row r="820" spans="1:14" x14ac:dyDescent="0.2">
      <c r="A820">
        <v>10695</v>
      </c>
      <c r="B820" t="s">
        <v>1466</v>
      </c>
      <c r="C820">
        <v>7</v>
      </c>
      <c r="D820" s="19">
        <v>35710</v>
      </c>
      <c r="E820" s="19">
        <v>35752</v>
      </c>
      <c r="F820" s="19">
        <v>35717</v>
      </c>
      <c r="G820">
        <v>1</v>
      </c>
      <c r="H820">
        <v>16.72</v>
      </c>
      <c r="I820" t="s">
        <v>1467</v>
      </c>
      <c r="J820" t="s">
        <v>1470</v>
      </c>
      <c r="K820" t="s">
        <v>1471</v>
      </c>
      <c r="M820" t="s">
        <v>1472</v>
      </c>
      <c r="N820" t="s">
        <v>1449</v>
      </c>
    </row>
    <row r="821" spans="1:14" x14ac:dyDescent="0.2">
      <c r="A821">
        <v>10873</v>
      </c>
      <c r="B821" t="s">
        <v>1466</v>
      </c>
      <c r="C821">
        <v>4</v>
      </c>
      <c r="D821" s="19">
        <v>35832</v>
      </c>
      <c r="E821" s="19">
        <v>35860</v>
      </c>
      <c r="F821" s="19">
        <v>35835</v>
      </c>
      <c r="G821">
        <v>1</v>
      </c>
      <c r="H821">
        <v>0.82</v>
      </c>
      <c r="I821" t="s">
        <v>1467</v>
      </c>
      <c r="J821" t="s">
        <v>1470</v>
      </c>
      <c r="K821" t="s">
        <v>1471</v>
      </c>
      <c r="M821" t="s">
        <v>1472</v>
      </c>
      <c r="N821" t="s">
        <v>1449</v>
      </c>
    </row>
    <row r="822" spans="1:14" x14ac:dyDescent="0.2">
      <c r="A822">
        <v>10879</v>
      </c>
      <c r="B822" t="s">
        <v>1466</v>
      </c>
      <c r="C822">
        <v>3</v>
      </c>
      <c r="D822" s="19">
        <v>35836</v>
      </c>
      <c r="E822" s="19">
        <v>35864</v>
      </c>
      <c r="F822" s="19">
        <v>35838</v>
      </c>
      <c r="G822">
        <v>3</v>
      </c>
      <c r="H822">
        <v>8.5</v>
      </c>
      <c r="I822" t="s">
        <v>1467</v>
      </c>
      <c r="J822" t="s">
        <v>1470</v>
      </c>
      <c r="K822" t="s">
        <v>1471</v>
      </c>
      <c r="M822" t="s">
        <v>1472</v>
      </c>
      <c r="N822" t="s">
        <v>1449</v>
      </c>
    </row>
    <row r="823" spans="1:14" x14ac:dyDescent="0.2">
      <c r="A823">
        <v>10910</v>
      </c>
      <c r="B823" t="s">
        <v>1466</v>
      </c>
      <c r="C823">
        <v>1</v>
      </c>
      <c r="D823" s="19">
        <v>35852</v>
      </c>
      <c r="E823" s="19">
        <v>35880</v>
      </c>
      <c r="F823" s="19">
        <v>35858</v>
      </c>
      <c r="G823">
        <v>3</v>
      </c>
      <c r="H823">
        <v>38.11</v>
      </c>
      <c r="I823" t="s">
        <v>1467</v>
      </c>
      <c r="J823" t="s">
        <v>1470</v>
      </c>
      <c r="K823" t="s">
        <v>1471</v>
      </c>
      <c r="M823" t="s">
        <v>1472</v>
      </c>
      <c r="N823" t="s">
        <v>1449</v>
      </c>
    </row>
    <row r="824" spans="1:14" x14ac:dyDescent="0.2">
      <c r="A824">
        <v>11005</v>
      </c>
      <c r="B824" t="s">
        <v>1466</v>
      </c>
      <c r="C824">
        <v>2</v>
      </c>
      <c r="D824" s="19">
        <v>35892</v>
      </c>
      <c r="E824" s="19">
        <v>35920</v>
      </c>
      <c r="F824" s="19">
        <v>35895</v>
      </c>
      <c r="G824">
        <v>1</v>
      </c>
      <c r="H824">
        <v>0.75</v>
      </c>
      <c r="I824" t="s">
        <v>1467</v>
      </c>
      <c r="J824" t="s">
        <v>1470</v>
      </c>
      <c r="K824" t="s">
        <v>1471</v>
      </c>
      <c r="M824" t="s">
        <v>1472</v>
      </c>
      <c r="N824" t="s">
        <v>1449</v>
      </c>
    </row>
    <row r="825" spans="1:14" x14ac:dyDescent="0.2">
      <c r="A825">
        <v>10374</v>
      </c>
      <c r="B825" t="s">
        <v>1474</v>
      </c>
      <c r="C825">
        <v>1</v>
      </c>
      <c r="D825" s="19">
        <v>35404</v>
      </c>
      <c r="E825" s="19">
        <v>35432</v>
      </c>
      <c r="F825" s="19">
        <v>35408</v>
      </c>
      <c r="G825">
        <v>3</v>
      </c>
      <c r="H825">
        <v>3.94</v>
      </c>
      <c r="I825" t="s">
        <v>1506</v>
      </c>
      <c r="J825" t="s">
        <v>1477</v>
      </c>
      <c r="K825" t="s">
        <v>1478</v>
      </c>
      <c r="M825" t="s">
        <v>1479</v>
      </c>
      <c r="N825" t="s">
        <v>1480</v>
      </c>
    </row>
    <row r="826" spans="1:14" x14ac:dyDescent="0.2">
      <c r="A826">
        <v>10611</v>
      </c>
      <c r="B826" t="s">
        <v>1474</v>
      </c>
      <c r="C826">
        <v>6</v>
      </c>
      <c r="D826" s="19">
        <v>35636</v>
      </c>
      <c r="E826" s="19">
        <v>35664</v>
      </c>
      <c r="F826" s="19">
        <v>35643</v>
      </c>
      <c r="G826">
        <v>2</v>
      </c>
      <c r="H826">
        <v>80.650000000000006</v>
      </c>
      <c r="I826" t="s">
        <v>1506</v>
      </c>
      <c r="J826" t="s">
        <v>1477</v>
      </c>
      <c r="K826" t="s">
        <v>1478</v>
      </c>
      <c r="M826" t="s">
        <v>1479</v>
      </c>
      <c r="N826" t="s">
        <v>1480</v>
      </c>
    </row>
    <row r="827" spans="1:14" x14ac:dyDescent="0.2">
      <c r="A827">
        <v>10792</v>
      </c>
      <c r="B827" t="s">
        <v>1474</v>
      </c>
      <c r="C827">
        <v>1</v>
      </c>
      <c r="D827" s="19">
        <v>35787</v>
      </c>
      <c r="E827" s="19">
        <v>35815</v>
      </c>
      <c r="F827" s="19">
        <v>35795</v>
      </c>
      <c r="G827">
        <v>3</v>
      </c>
      <c r="H827">
        <v>23.79</v>
      </c>
      <c r="I827" t="s">
        <v>1506</v>
      </c>
      <c r="J827" t="s">
        <v>1477</v>
      </c>
      <c r="K827" t="s">
        <v>1478</v>
      </c>
      <c r="M827" t="s">
        <v>1479</v>
      </c>
      <c r="N827" t="s">
        <v>1480</v>
      </c>
    </row>
    <row r="828" spans="1:14" x14ac:dyDescent="0.2">
      <c r="A828">
        <v>10870</v>
      </c>
      <c r="B828" t="s">
        <v>1474</v>
      </c>
      <c r="C828">
        <v>5</v>
      </c>
      <c r="D828" s="19">
        <v>35830</v>
      </c>
      <c r="E828" s="19">
        <v>35858</v>
      </c>
      <c r="F828" s="19">
        <v>35839</v>
      </c>
      <c r="G828">
        <v>3</v>
      </c>
      <c r="H828">
        <v>12.04</v>
      </c>
      <c r="I828" t="s">
        <v>1506</v>
      </c>
      <c r="J828" t="s">
        <v>1477</v>
      </c>
      <c r="K828" t="s">
        <v>1478</v>
      </c>
      <c r="M828" t="s">
        <v>1479</v>
      </c>
      <c r="N828" t="s">
        <v>1480</v>
      </c>
    </row>
    <row r="829" spans="1:14" x14ac:dyDescent="0.2">
      <c r="A829">
        <v>10906</v>
      </c>
      <c r="B829" t="s">
        <v>1474</v>
      </c>
      <c r="C829">
        <v>4</v>
      </c>
      <c r="D829" s="19">
        <v>35851</v>
      </c>
      <c r="E829" s="19">
        <v>35865</v>
      </c>
      <c r="F829" s="19">
        <v>35857</v>
      </c>
      <c r="G829">
        <v>3</v>
      </c>
      <c r="H829">
        <v>26.29</v>
      </c>
      <c r="I829" t="s">
        <v>1506</v>
      </c>
      <c r="J829" t="s">
        <v>1477</v>
      </c>
      <c r="K829" t="s">
        <v>1478</v>
      </c>
      <c r="M829" t="s">
        <v>1479</v>
      </c>
      <c r="N829" t="s">
        <v>1480</v>
      </c>
    </row>
    <row r="830" spans="1:14" x14ac:dyDescent="0.2">
      <c r="A830">
        <v>10998</v>
      </c>
      <c r="B830" t="s">
        <v>1474</v>
      </c>
      <c r="C830">
        <v>8</v>
      </c>
      <c r="D830" s="19">
        <v>35888</v>
      </c>
      <c r="E830" s="19">
        <v>35902</v>
      </c>
      <c r="F830" s="19">
        <v>35902</v>
      </c>
      <c r="G830">
        <v>2</v>
      </c>
      <c r="H830">
        <v>20.309999999999999</v>
      </c>
      <c r="I830" t="s">
        <v>1506</v>
      </c>
      <c r="J830" t="s">
        <v>1477</v>
      </c>
      <c r="K830" t="s">
        <v>1478</v>
      </c>
      <c r="M830" t="s">
        <v>1479</v>
      </c>
      <c r="N830" t="s">
        <v>1480</v>
      </c>
    </row>
    <row r="831" spans="1:14" x14ac:dyDescent="0.2">
      <c r="A831">
        <v>11044</v>
      </c>
      <c r="B831" t="s">
        <v>1474</v>
      </c>
      <c r="C831">
        <v>4</v>
      </c>
      <c r="D831" s="19">
        <v>35908</v>
      </c>
      <c r="E831" s="19">
        <v>35936</v>
      </c>
      <c r="F831" s="19">
        <v>35916</v>
      </c>
      <c r="G831">
        <v>1</v>
      </c>
      <c r="H831">
        <v>8.7200000000000006</v>
      </c>
      <c r="I831" t="s">
        <v>1506</v>
      </c>
      <c r="J831" t="s">
        <v>1477</v>
      </c>
      <c r="K831" t="s">
        <v>1478</v>
      </c>
      <c r="M831" t="s">
        <v>1479</v>
      </c>
      <c r="N831" t="s">
        <v>1480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I19"/>
  <sheetViews>
    <sheetView zoomScale="85" workbookViewId="0">
      <selection activeCell="I4" sqref="I4:I19"/>
    </sheetView>
  </sheetViews>
  <sheetFormatPr defaultRowHeight="12.75" x14ac:dyDescent="0.2"/>
  <cols>
    <col min="2" max="2" width="11.85546875" customWidth="1"/>
    <col min="3" max="3" width="16.28515625" customWidth="1"/>
    <col min="4" max="4" width="9.7109375" customWidth="1"/>
    <col min="5" max="5" width="7.7109375" customWidth="1"/>
    <col min="6" max="6" width="9.85546875" customWidth="1"/>
    <col min="7" max="7" width="9.42578125" customWidth="1"/>
    <col min="8" max="8" width="3.5703125" customWidth="1"/>
    <col min="9" max="9" width="9" bestFit="1" customWidth="1"/>
  </cols>
  <sheetData>
    <row r="1" spans="1:9" ht="15.75" x14ac:dyDescent="0.25">
      <c r="A1" s="9" t="s">
        <v>8</v>
      </c>
    </row>
    <row r="3" spans="1:9" ht="16.5" thickBot="1" x14ac:dyDescent="0.3">
      <c r="A3" s="47" t="s">
        <v>9</v>
      </c>
      <c r="B3" s="47" t="s">
        <v>10</v>
      </c>
      <c r="C3" s="47" t="s">
        <v>11</v>
      </c>
      <c r="D3" s="47" t="s">
        <v>12</v>
      </c>
      <c r="E3" s="47" t="s">
        <v>13</v>
      </c>
      <c r="F3" s="47" t="s">
        <v>14</v>
      </c>
      <c r="G3" s="47" t="s">
        <v>15</v>
      </c>
      <c r="H3" s="47" t="s">
        <v>16</v>
      </c>
      <c r="I3" s="47" t="s">
        <v>17</v>
      </c>
    </row>
    <row r="4" spans="1:9" ht="14.25" x14ac:dyDescent="0.2">
      <c r="A4" s="10">
        <v>2</v>
      </c>
      <c r="B4" s="11" t="s">
        <v>18</v>
      </c>
      <c r="C4" s="11" t="s">
        <v>19</v>
      </c>
      <c r="D4" s="10">
        <v>2</v>
      </c>
      <c r="E4" s="10" t="s">
        <v>20</v>
      </c>
      <c r="F4" s="10" t="s">
        <v>20</v>
      </c>
      <c r="G4" s="10" t="s">
        <v>20</v>
      </c>
      <c r="H4" s="10" t="s">
        <v>20</v>
      </c>
      <c r="I4" s="59">
        <v>19.95</v>
      </c>
    </row>
    <row r="5" spans="1:9" ht="14.25" x14ac:dyDescent="0.2">
      <c r="A5" s="10">
        <v>27</v>
      </c>
      <c r="B5" s="11" t="s">
        <v>18</v>
      </c>
      <c r="C5" s="11" t="s">
        <v>19</v>
      </c>
      <c r="D5" s="10">
        <v>4</v>
      </c>
      <c r="E5" s="10" t="s">
        <v>20</v>
      </c>
      <c r="F5" s="10" t="s">
        <v>20</v>
      </c>
      <c r="G5" s="10" t="s">
        <v>21</v>
      </c>
      <c r="H5" s="10" t="s">
        <v>20</v>
      </c>
      <c r="I5" s="59">
        <v>24.95</v>
      </c>
    </row>
    <row r="6" spans="1:9" ht="14.25" x14ac:dyDescent="0.2">
      <c r="A6" s="10">
        <v>10</v>
      </c>
      <c r="B6" s="11" t="s">
        <v>22</v>
      </c>
      <c r="C6" s="11" t="s">
        <v>23</v>
      </c>
      <c r="D6" s="10">
        <v>4</v>
      </c>
      <c r="E6" s="10" t="s">
        <v>20</v>
      </c>
      <c r="F6" s="10" t="s">
        <v>20</v>
      </c>
      <c r="G6" s="10" t="s">
        <v>20</v>
      </c>
      <c r="H6" s="10" t="s">
        <v>20</v>
      </c>
      <c r="I6" s="59">
        <v>19.95</v>
      </c>
    </row>
    <row r="7" spans="1:9" ht="14.25" x14ac:dyDescent="0.2">
      <c r="A7" s="10">
        <v>33</v>
      </c>
      <c r="B7" s="11" t="s">
        <v>24</v>
      </c>
      <c r="C7" s="11" t="s">
        <v>25</v>
      </c>
      <c r="D7" s="10">
        <v>2</v>
      </c>
      <c r="E7" s="10" t="s">
        <v>20</v>
      </c>
      <c r="F7" s="10" t="s">
        <v>20</v>
      </c>
      <c r="G7" s="10" t="s">
        <v>20</v>
      </c>
      <c r="H7" s="10" t="s">
        <v>20</v>
      </c>
      <c r="I7" s="59">
        <v>14.95</v>
      </c>
    </row>
    <row r="8" spans="1:9" ht="14.25" x14ac:dyDescent="0.2">
      <c r="A8" s="10">
        <v>34</v>
      </c>
      <c r="B8" s="11" t="s">
        <v>26</v>
      </c>
      <c r="C8" s="11" t="s">
        <v>27</v>
      </c>
      <c r="D8" s="10">
        <v>2</v>
      </c>
      <c r="E8" s="10" t="s">
        <v>20</v>
      </c>
      <c r="F8" s="10" t="s">
        <v>20</v>
      </c>
      <c r="G8" s="10" t="s">
        <v>21</v>
      </c>
      <c r="H8" s="10" t="s">
        <v>21</v>
      </c>
      <c r="I8" s="59">
        <v>29.95</v>
      </c>
    </row>
    <row r="9" spans="1:9" ht="14.25" x14ac:dyDescent="0.2">
      <c r="A9" s="10">
        <v>14</v>
      </c>
      <c r="B9" s="11" t="s">
        <v>28</v>
      </c>
      <c r="C9" s="11" t="s">
        <v>29</v>
      </c>
      <c r="D9" s="10">
        <v>4</v>
      </c>
      <c r="E9" s="10" t="s">
        <v>20</v>
      </c>
      <c r="F9" s="10" t="s">
        <v>20</v>
      </c>
      <c r="G9" s="10" t="s">
        <v>21</v>
      </c>
      <c r="H9" s="10" t="s">
        <v>21</v>
      </c>
      <c r="I9" s="59">
        <v>24.95</v>
      </c>
    </row>
    <row r="10" spans="1:9" ht="14.25" x14ac:dyDescent="0.2">
      <c r="A10" s="10">
        <v>16</v>
      </c>
      <c r="B10" s="11" t="s">
        <v>28</v>
      </c>
      <c r="C10" s="11" t="s">
        <v>29</v>
      </c>
      <c r="D10" s="10">
        <v>2</v>
      </c>
      <c r="E10" s="10" t="s">
        <v>20</v>
      </c>
      <c r="F10" s="10" t="s">
        <v>20</v>
      </c>
      <c r="G10" s="10" t="s">
        <v>20</v>
      </c>
      <c r="H10" s="10" t="s">
        <v>21</v>
      </c>
      <c r="I10" s="59">
        <v>19.95</v>
      </c>
    </row>
    <row r="11" spans="1:9" ht="14.25" x14ac:dyDescent="0.2">
      <c r="A11" s="10">
        <v>25</v>
      </c>
      <c r="B11" s="11" t="s">
        <v>28</v>
      </c>
      <c r="C11" s="11" t="s">
        <v>29</v>
      </c>
      <c r="D11" s="10">
        <v>4</v>
      </c>
      <c r="E11" s="10" t="s">
        <v>20</v>
      </c>
      <c r="F11" s="10" t="s">
        <v>20</v>
      </c>
      <c r="G11" s="10" t="s">
        <v>21</v>
      </c>
      <c r="H11" s="10" t="s">
        <v>20</v>
      </c>
      <c r="I11" s="59">
        <v>19.95</v>
      </c>
    </row>
    <row r="12" spans="1:9" ht="14.25" x14ac:dyDescent="0.2">
      <c r="A12" s="10">
        <v>3</v>
      </c>
      <c r="B12" s="11" t="s">
        <v>24</v>
      </c>
      <c r="C12" s="11" t="s">
        <v>30</v>
      </c>
      <c r="D12" s="10">
        <v>4</v>
      </c>
      <c r="E12" s="10" t="s">
        <v>20</v>
      </c>
      <c r="F12" s="10" t="s">
        <v>20</v>
      </c>
      <c r="G12" s="10" t="s">
        <v>20</v>
      </c>
      <c r="H12" s="10" t="s">
        <v>20</v>
      </c>
      <c r="I12" s="59">
        <v>19.95</v>
      </c>
    </row>
    <row r="13" spans="1:9" ht="14.25" x14ac:dyDescent="0.2">
      <c r="A13" s="10">
        <v>32</v>
      </c>
      <c r="B13" s="11" t="s">
        <v>24</v>
      </c>
      <c r="C13" s="11" t="s">
        <v>30</v>
      </c>
      <c r="D13" s="10">
        <v>4</v>
      </c>
      <c r="E13" s="10" t="s">
        <v>20</v>
      </c>
      <c r="F13" s="10" t="s">
        <v>21</v>
      </c>
      <c r="G13" s="10" t="s">
        <v>20</v>
      </c>
      <c r="H13" s="10" t="s">
        <v>21</v>
      </c>
      <c r="I13" s="59">
        <v>19.95</v>
      </c>
    </row>
    <row r="14" spans="1:9" ht="14.25" x14ac:dyDescent="0.2">
      <c r="A14" s="10">
        <v>4</v>
      </c>
      <c r="B14" s="11" t="s">
        <v>18</v>
      </c>
      <c r="C14" s="11" t="s">
        <v>31</v>
      </c>
      <c r="D14" s="10">
        <v>5</v>
      </c>
      <c r="E14" s="10" t="s">
        <v>21</v>
      </c>
      <c r="F14" s="10" t="s">
        <v>20</v>
      </c>
      <c r="G14" s="10" t="s">
        <v>20</v>
      </c>
      <c r="H14" s="10" t="s">
        <v>21</v>
      </c>
      <c r="I14" s="59">
        <v>34.950000000000003</v>
      </c>
    </row>
    <row r="15" spans="1:9" ht="14.25" x14ac:dyDescent="0.2">
      <c r="A15" s="10">
        <v>11</v>
      </c>
      <c r="B15" s="11" t="s">
        <v>32</v>
      </c>
      <c r="C15" s="11" t="s">
        <v>33</v>
      </c>
      <c r="D15" s="10">
        <v>5</v>
      </c>
      <c r="E15" s="10" t="s">
        <v>21</v>
      </c>
      <c r="F15" s="10" t="s">
        <v>20</v>
      </c>
      <c r="G15" s="10" t="s">
        <v>20</v>
      </c>
      <c r="H15" s="10" t="s">
        <v>21</v>
      </c>
      <c r="I15" s="59">
        <v>34.950000000000003</v>
      </c>
    </row>
    <row r="16" spans="1:9" ht="14.25" x14ac:dyDescent="0.2">
      <c r="A16" s="10">
        <v>22</v>
      </c>
      <c r="B16" s="11" t="s">
        <v>32</v>
      </c>
      <c r="C16" s="11" t="s">
        <v>33</v>
      </c>
      <c r="D16" s="10">
        <v>5</v>
      </c>
      <c r="E16" s="10" t="s">
        <v>21</v>
      </c>
      <c r="F16" s="10" t="s">
        <v>20</v>
      </c>
      <c r="G16" s="10" t="s">
        <v>20</v>
      </c>
      <c r="H16" s="10" t="s">
        <v>20</v>
      </c>
      <c r="I16" s="59">
        <v>39.950000000000003</v>
      </c>
    </row>
    <row r="17" spans="1:9" ht="14.25" x14ac:dyDescent="0.2">
      <c r="A17" s="10">
        <v>29</v>
      </c>
      <c r="B17" s="11" t="s">
        <v>32</v>
      </c>
      <c r="C17" s="11" t="s">
        <v>33</v>
      </c>
      <c r="D17" s="10">
        <v>5</v>
      </c>
      <c r="E17" s="10" t="s">
        <v>21</v>
      </c>
      <c r="F17" s="10" t="s">
        <v>20</v>
      </c>
      <c r="G17" s="10" t="s">
        <v>20</v>
      </c>
      <c r="H17" s="10" t="s">
        <v>21</v>
      </c>
      <c r="I17" s="59">
        <v>34.950000000000003</v>
      </c>
    </row>
    <row r="18" spans="1:9" ht="14.25" x14ac:dyDescent="0.2">
      <c r="A18" s="10">
        <v>5</v>
      </c>
      <c r="B18" s="11" t="s">
        <v>18</v>
      </c>
      <c r="C18" s="11" t="s">
        <v>34</v>
      </c>
      <c r="D18" s="10">
        <v>4</v>
      </c>
      <c r="E18" s="10" t="s">
        <v>21</v>
      </c>
      <c r="F18" s="10" t="s">
        <v>21</v>
      </c>
      <c r="G18" s="10" t="s">
        <v>20</v>
      </c>
      <c r="H18" s="10" t="s">
        <v>20</v>
      </c>
      <c r="I18" s="59">
        <v>22.95</v>
      </c>
    </row>
    <row r="19" spans="1:9" ht="14.25" x14ac:dyDescent="0.2">
      <c r="A19" s="10">
        <v>18</v>
      </c>
      <c r="B19" s="11" t="s">
        <v>18</v>
      </c>
      <c r="C19" s="11" t="s">
        <v>34</v>
      </c>
      <c r="D19" s="10">
        <v>4</v>
      </c>
      <c r="E19" s="10" t="s">
        <v>21</v>
      </c>
      <c r="F19" s="10" t="s">
        <v>20</v>
      </c>
      <c r="G19" s="10" t="s">
        <v>20</v>
      </c>
      <c r="H19" s="10" t="s">
        <v>21</v>
      </c>
      <c r="I19" s="59">
        <v>24.95</v>
      </c>
    </row>
  </sheetData>
  <phoneticPr fontId="0"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F43"/>
  <sheetViews>
    <sheetView topLeftCell="A18" workbookViewId="0">
      <selection activeCell="E2" sqref="E2:E43"/>
    </sheetView>
  </sheetViews>
  <sheetFormatPr defaultRowHeight="12.75" x14ac:dyDescent="0.2"/>
  <cols>
    <col min="1" max="1" width="15.28515625" style="13" customWidth="1"/>
    <col min="2" max="2" width="23.5703125" style="13" customWidth="1"/>
    <col min="3" max="3" width="9.140625" style="13"/>
    <col min="4" max="4" width="10.42578125" style="13" customWidth="1"/>
    <col min="5" max="5" width="11.28515625" style="13" customWidth="1"/>
    <col min="6" max="6" width="15.28515625" style="13" customWidth="1"/>
    <col min="7" max="16384" width="9.140625" style="13"/>
  </cols>
  <sheetData>
    <row r="1" spans="1:6" ht="13.5" thickBot="1" x14ac:dyDescent="0.25">
      <c r="A1" s="48" t="s">
        <v>35</v>
      </c>
      <c r="B1" s="48" t="s">
        <v>36</v>
      </c>
      <c r="C1" s="48" t="s">
        <v>37</v>
      </c>
      <c r="D1" s="48" t="s">
        <v>38</v>
      </c>
      <c r="E1" s="48" t="s">
        <v>39</v>
      </c>
      <c r="F1" s="12"/>
    </row>
    <row r="2" spans="1:6" x14ac:dyDescent="0.2">
      <c r="A2" s="14" t="s">
        <v>40</v>
      </c>
      <c r="B2" s="13" t="s">
        <v>41</v>
      </c>
      <c r="C2" s="13">
        <v>99</v>
      </c>
      <c r="D2" s="15">
        <v>10</v>
      </c>
      <c r="E2" s="60">
        <f t="shared" ref="E2:E43" si="0">C2*D2</f>
        <v>990</v>
      </c>
      <c r="F2" s="16"/>
    </row>
    <row r="3" spans="1:6" x14ac:dyDescent="0.2">
      <c r="A3" s="14" t="s">
        <v>40</v>
      </c>
      <c r="B3" s="13" t="s">
        <v>42</v>
      </c>
      <c r="C3" s="13">
        <v>61</v>
      </c>
      <c r="D3" s="15">
        <v>13</v>
      </c>
      <c r="E3" s="60">
        <f t="shared" si="0"/>
        <v>793</v>
      </c>
      <c r="F3" s="16"/>
    </row>
    <row r="4" spans="1:6" x14ac:dyDescent="0.2">
      <c r="A4" s="14" t="s">
        <v>40</v>
      </c>
      <c r="B4" s="13" t="s">
        <v>43</v>
      </c>
      <c r="C4" s="13">
        <v>28</v>
      </c>
      <c r="D4" s="15">
        <v>13.5</v>
      </c>
      <c r="E4" s="60">
        <f t="shared" si="0"/>
        <v>378</v>
      </c>
      <c r="F4" s="16"/>
    </row>
    <row r="5" spans="1:6" x14ac:dyDescent="0.2">
      <c r="A5" s="14" t="s">
        <v>40</v>
      </c>
      <c r="B5" s="13" t="s">
        <v>44</v>
      </c>
      <c r="C5" s="13">
        <v>75</v>
      </c>
      <c r="D5" s="15">
        <v>11.2</v>
      </c>
      <c r="E5" s="60">
        <f t="shared" si="0"/>
        <v>840</v>
      </c>
      <c r="F5" s="16"/>
    </row>
    <row r="6" spans="1:6" x14ac:dyDescent="0.2">
      <c r="A6" s="14" t="s">
        <v>40</v>
      </c>
      <c r="B6" s="13" t="s">
        <v>44</v>
      </c>
      <c r="C6" s="13">
        <v>80</v>
      </c>
      <c r="D6" s="15">
        <v>11.2</v>
      </c>
      <c r="E6" s="60">
        <f t="shared" si="0"/>
        <v>896</v>
      </c>
      <c r="F6" s="16"/>
    </row>
    <row r="7" spans="1:6" x14ac:dyDescent="0.2">
      <c r="A7" s="14" t="s">
        <v>40</v>
      </c>
      <c r="B7" s="13" t="s">
        <v>44</v>
      </c>
      <c r="C7" s="13">
        <v>80</v>
      </c>
      <c r="D7" s="15">
        <v>11.2</v>
      </c>
      <c r="E7" s="60">
        <f t="shared" si="0"/>
        <v>896</v>
      </c>
      <c r="F7" s="16"/>
    </row>
    <row r="8" spans="1:6" x14ac:dyDescent="0.2">
      <c r="A8" s="13" t="s">
        <v>45</v>
      </c>
      <c r="B8" s="13" t="s">
        <v>41</v>
      </c>
      <c r="C8" s="13">
        <v>75</v>
      </c>
      <c r="D8" s="15">
        <v>11</v>
      </c>
      <c r="E8" s="60">
        <f t="shared" si="0"/>
        <v>825</v>
      </c>
      <c r="F8" s="16"/>
    </row>
    <row r="9" spans="1:6" x14ac:dyDescent="0.2">
      <c r="A9" s="13" t="s">
        <v>45</v>
      </c>
      <c r="B9" s="13" t="s">
        <v>42</v>
      </c>
      <c r="C9" s="13">
        <v>75</v>
      </c>
      <c r="D9" s="15">
        <v>12.65</v>
      </c>
      <c r="E9" s="60">
        <f t="shared" si="0"/>
        <v>948.75</v>
      </c>
      <c r="F9" s="16"/>
    </row>
    <row r="10" spans="1:6" x14ac:dyDescent="0.2">
      <c r="A10" s="13" t="s">
        <v>45</v>
      </c>
      <c r="B10" s="13" t="s">
        <v>42</v>
      </c>
      <c r="C10" s="13">
        <v>68</v>
      </c>
      <c r="D10" s="15">
        <v>12.65</v>
      </c>
      <c r="E10" s="60">
        <f t="shared" si="0"/>
        <v>860.2</v>
      </c>
      <c r="F10" s="16"/>
    </row>
    <row r="11" spans="1:6" x14ac:dyDescent="0.2">
      <c r="A11" s="13" t="s">
        <v>45</v>
      </c>
      <c r="B11" s="13" t="s">
        <v>43</v>
      </c>
      <c r="C11" s="13">
        <v>86</v>
      </c>
      <c r="D11" s="15">
        <v>10</v>
      </c>
      <c r="E11" s="60">
        <f t="shared" si="0"/>
        <v>860</v>
      </c>
      <c r="F11" s="16"/>
    </row>
    <row r="12" spans="1:6" x14ac:dyDescent="0.2">
      <c r="A12" s="13" t="s">
        <v>45</v>
      </c>
      <c r="B12" s="13" t="s">
        <v>44</v>
      </c>
      <c r="C12" s="13">
        <v>55</v>
      </c>
      <c r="D12" s="15">
        <v>12.55</v>
      </c>
      <c r="E12" s="60">
        <f t="shared" si="0"/>
        <v>690.25</v>
      </c>
      <c r="F12" s="16"/>
    </row>
    <row r="13" spans="1:6" x14ac:dyDescent="0.2">
      <c r="A13" s="13" t="s">
        <v>45</v>
      </c>
      <c r="B13" s="13" t="s">
        <v>44</v>
      </c>
      <c r="C13" s="13">
        <v>65</v>
      </c>
      <c r="D13" s="15">
        <v>12.55</v>
      </c>
      <c r="E13" s="60">
        <f t="shared" si="0"/>
        <v>815.75</v>
      </c>
      <c r="F13" s="16"/>
    </row>
    <row r="14" spans="1:6" x14ac:dyDescent="0.2">
      <c r="A14" s="13" t="s">
        <v>46</v>
      </c>
      <c r="B14" s="13" t="s">
        <v>41</v>
      </c>
      <c r="C14" s="13">
        <v>95</v>
      </c>
      <c r="D14" s="15">
        <v>10.55</v>
      </c>
      <c r="E14" s="60">
        <f t="shared" si="0"/>
        <v>1002.2500000000001</v>
      </c>
      <c r="F14" s="16"/>
    </row>
    <row r="15" spans="1:6" x14ac:dyDescent="0.2">
      <c r="A15" s="13" t="s">
        <v>46</v>
      </c>
      <c r="B15" s="13" t="s">
        <v>42</v>
      </c>
      <c r="C15" s="13">
        <v>95</v>
      </c>
      <c r="D15" s="15">
        <v>10.55</v>
      </c>
      <c r="E15" s="60">
        <f t="shared" si="0"/>
        <v>1002.2500000000001</v>
      </c>
      <c r="F15" s="16"/>
    </row>
    <row r="16" spans="1:6" x14ac:dyDescent="0.2">
      <c r="A16" s="13" t="s">
        <v>46</v>
      </c>
      <c r="B16" s="13" t="s">
        <v>43</v>
      </c>
      <c r="C16" s="13">
        <v>90</v>
      </c>
      <c r="D16" s="15">
        <v>10.9</v>
      </c>
      <c r="E16" s="60">
        <f t="shared" si="0"/>
        <v>981</v>
      </c>
      <c r="F16" s="16"/>
    </row>
    <row r="17" spans="1:6" x14ac:dyDescent="0.2">
      <c r="A17" s="13" t="s">
        <v>46</v>
      </c>
      <c r="B17" s="13" t="s">
        <v>43</v>
      </c>
      <c r="C17" s="13">
        <v>110</v>
      </c>
      <c r="D17" s="15">
        <v>10.9</v>
      </c>
      <c r="E17" s="60">
        <f t="shared" si="0"/>
        <v>1199</v>
      </c>
      <c r="F17" s="16"/>
    </row>
    <row r="18" spans="1:6" x14ac:dyDescent="0.2">
      <c r="A18" s="13" t="s">
        <v>46</v>
      </c>
      <c r="B18" s="13" t="s">
        <v>44</v>
      </c>
      <c r="C18" s="13">
        <v>95</v>
      </c>
      <c r="D18" s="15">
        <v>10.55</v>
      </c>
      <c r="E18" s="60">
        <f t="shared" si="0"/>
        <v>1002.2500000000001</v>
      </c>
      <c r="F18" s="16"/>
    </row>
    <row r="19" spans="1:6" x14ac:dyDescent="0.2">
      <c r="A19" s="13" t="s">
        <v>47</v>
      </c>
      <c r="B19" s="13" t="s">
        <v>41</v>
      </c>
      <c r="C19" s="13">
        <v>52</v>
      </c>
      <c r="D19" s="15">
        <v>12</v>
      </c>
      <c r="E19" s="60">
        <f t="shared" si="0"/>
        <v>624</v>
      </c>
      <c r="F19" s="16"/>
    </row>
    <row r="20" spans="1:6" x14ac:dyDescent="0.2">
      <c r="A20" s="13" t="s">
        <v>47</v>
      </c>
      <c r="B20" s="13" t="s">
        <v>42</v>
      </c>
      <c r="C20" s="13">
        <v>85</v>
      </c>
      <c r="D20" s="15">
        <v>11</v>
      </c>
      <c r="E20" s="60">
        <f t="shared" si="0"/>
        <v>935</v>
      </c>
      <c r="F20" s="16"/>
    </row>
    <row r="21" spans="1:6" x14ac:dyDescent="0.2">
      <c r="A21" s="13" t="s">
        <v>47</v>
      </c>
      <c r="B21" s="13" t="s">
        <v>43</v>
      </c>
      <c r="C21" s="13">
        <v>92</v>
      </c>
      <c r="D21" s="15">
        <v>11.5</v>
      </c>
      <c r="E21" s="60">
        <f t="shared" si="0"/>
        <v>1058</v>
      </c>
      <c r="F21" s="16"/>
    </row>
    <row r="22" spans="1:6" x14ac:dyDescent="0.2">
      <c r="A22" s="13" t="s">
        <v>47</v>
      </c>
      <c r="B22" s="13" t="s">
        <v>43</v>
      </c>
      <c r="C22" s="13">
        <v>95</v>
      </c>
      <c r="D22" s="15">
        <v>10.55</v>
      </c>
      <c r="E22" s="60">
        <f t="shared" si="0"/>
        <v>1002.2500000000001</v>
      </c>
      <c r="F22" s="16"/>
    </row>
    <row r="23" spans="1:6" x14ac:dyDescent="0.2">
      <c r="A23" s="13" t="s">
        <v>47</v>
      </c>
      <c r="B23" s="13" t="s">
        <v>43</v>
      </c>
      <c r="C23" s="13">
        <v>90</v>
      </c>
      <c r="D23" s="15">
        <v>10.55</v>
      </c>
      <c r="E23" s="60">
        <f t="shared" si="0"/>
        <v>949.50000000000011</v>
      </c>
      <c r="F23" s="16"/>
    </row>
    <row r="24" spans="1:6" x14ac:dyDescent="0.2">
      <c r="A24" s="13" t="s">
        <v>47</v>
      </c>
      <c r="B24" s="13" t="s">
        <v>44</v>
      </c>
      <c r="C24" s="13">
        <v>62</v>
      </c>
      <c r="D24" s="15">
        <v>11</v>
      </c>
      <c r="E24" s="60">
        <f t="shared" si="0"/>
        <v>682</v>
      </c>
      <c r="F24" s="16"/>
    </row>
    <row r="25" spans="1:6" x14ac:dyDescent="0.2">
      <c r="A25" s="14" t="s">
        <v>48</v>
      </c>
      <c r="B25" s="13" t="s">
        <v>41</v>
      </c>
      <c r="C25" s="13">
        <v>57</v>
      </c>
      <c r="D25" s="15">
        <v>12.55</v>
      </c>
      <c r="E25" s="60">
        <f t="shared" si="0"/>
        <v>715.35</v>
      </c>
      <c r="F25" s="16"/>
    </row>
    <row r="26" spans="1:6" x14ac:dyDescent="0.2">
      <c r="A26" s="14" t="s">
        <v>48</v>
      </c>
      <c r="B26" s="13" t="s">
        <v>42</v>
      </c>
      <c r="C26" s="13">
        <v>80</v>
      </c>
      <c r="D26" s="15">
        <v>11</v>
      </c>
      <c r="E26" s="60">
        <f t="shared" si="0"/>
        <v>880</v>
      </c>
      <c r="F26" s="16"/>
    </row>
    <row r="27" spans="1:6" x14ac:dyDescent="0.2">
      <c r="A27" s="14" t="s">
        <v>48</v>
      </c>
      <c r="B27" s="13" t="s">
        <v>42</v>
      </c>
      <c r="C27" s="13">
        <v>95</v>
      </c>
      <c r="D27" s="15">
        <v>11</v>
      </c>
      <c r="E27" s="60">
        <f t="shared" si="0"/>
        <v>1045</v>
      </c>
      <c r="F27" s="16"/>
    </row>
    <row r="28" spans="1:6" x14ac:dyDescent="0.2">
      <c r="A28" s="14" t="s">
        <v>48</v>
      </c>
      <c r="B28" s="13" t="s">
        <v>43</v>
      </c>
      <c r="C28" s="13">
        <v>85</v>
      </c>
      <c r="D28" s="15">
        <v>11.5</v>
      </c>
      <c r="E28" s="60">
        <f t="shared" si="0"/>
        <v>977.5</v>
      </c>
      <c r="F28" s="16"/>
    </row>
    <row r="29" spans="1:6" x14ac:dyDescent="0.2">
      <c r="A29" s="14" t="s">
        <v>48</v>
      </c>
      <c r="B29" s="13" t="s">
        <v>44</v>
      </c>
      <c r="C29" s="13">
        <v>80</v>
      </c>
      <c r="D29" s="15">
        <v>11</v>
      </c>
      <c r="E29" s="60">
        <f t="shared" si="0"/>
        <v>880</v>
      </c>
      <c r="F29" s="16"/>
    </row>
    <row r="30" spans="1:6" x14ac:dyDescent="0.2">
      <c r="A30" s="14" t="s">
        <v>48</v>
      </c>
      <c r="B30" s="13" t="s">
        <v>44</v>
      </c>
      <c r="C30" s="13">
        <v>95</v>
      </c>
      <c r="D30" s="15">
        <v>11</v>
      </c>
      <c r="E30" s="60">
        <f t="shared" si="0"/>
        <v>1045</v>
      </c>
      <c r="F30" s="16"/>
    </row>
    <row r="31" spans="1:6" x14ac:dyDescent="0.2">
      <c r="A31" s="13" t="s">
        <v>49</v>
      </c>
      <c r="B31" s="13" t="s">
        <v>41</v>
      </c>
      <c r="C31" s="13">
        <v>70</v>
      </c>
      <c r="D31" s="15">
        <v>11</v>
      </c>
      <c r="E31" s="60">
        <f t="shared" si="0"/>
        <v>770</v>
      </c>
      <c r="F31" s="16"/>
    </row>
    <row r="32" spans="1:6" x14ac:dyDescent="0.2">
      <c r="A32" s="13" t="s">
        <v>49</v>
      </c>
      <c r="B32" s="13" t="s">
        <v>42</v>
      </c>
      <c r="C32" s="13">
        <v>23</v>
      </c>
      <c r="D32" s="15">
        <v>16</v>
      </c>
      <c r="E32" s="60">
        <f t="shared" si="0"/>
        <v>368</v>
      </c>
      <c r="F32" s="16"/>
    </row>
    <row r="33" spans="1:6" x14ac:dyDescent="0.2">
      <c r="A33" s="13" t="s">
        <v>49</v>
      </c>
      <c r="B33" s="13" t="s">
        <v>43</v>
      </c>
      <c r="C33" s="13">
        <v>52</v>
      </c>
      <c r="D33" s="15">
        <v>13.6</v>
      </c>
      <c r="E33" s="60">
        <f t="shared" si="0"/>
        <v>707.19999999999993</v>
      </c>
      <c r="F33" s="16"/>
    </row>
    <row r="34" spans="1:6" x14ac:dyDescent="0.2">
      <c r="A34" s="13" t="s">
        <v>49</v>
      </c>
      <c r="B34" s="13" t="s">
        <v>44</v>
      </c>
      <c r="C34" s="13">
        <v>60</v>
      </c>
      <c r="D34" s="15">
        <v>12.55</v>
      </c>
      <c r="E34" s="60">
        <f t="shared" si="0"/>
        <v>753</v>
      </c>
      <c r="F34" s="16"/>
    </row>
    <row r="35" spans="1:6" x14ac:dyDescent="0.2">
      <c r="A35" s="13" t="s">
        <v>49</v>
      </c>
      <c r="B35" s="13" t="s">
        <v>44</v>
      </c>
      <c r="C35" s="13">
        <v>65</v>
      </c>
      <c r="D35" s="15">
        <v>12.55</v>
      </c>
      <c r="E35" s="60">
        <f t="shared" si="0"/>
        <v>815.75</v>
      </c>
      <c r="F35" s="16"/>
    </row>
    <row r="36" spans="1:6" x14ac:dyDescent="0.2">
      <c r="A36" s="13" t="s">
        <v>49</v>
      </c>
      <c r="B36" s="13" t="s">
        <v>44</v>
      </c>
      <c r="C36" s="13">
        <v>56</v>
      </c>
      <c r="D36" s="15">
        <v>12.55</v>
      </c>
      <c r="E36" s="60">
        <f t="shared" si="0"/>
        <v>702.80000000000007</v>
      </c>
      <c r="F36" s="16"/>
    </row>
    <row r="37" spans="1:6" x14ac:dyDescent="0.2">
      <c r="A37" s="13" t="s">
        <v>49</v>
      </c>
      <c r="B37" s="13" t="s">
        <v>44</v>
      </c>
      <c r="C37" s="13">
        <v>68</v>
      </c>
      <c r="D37" s="15">
        <v>12.55</v>
      </c>
      <c r="E37" s="60">
        <f t="shared" si="0"/>
        <v>853.40000000000009</v>
      </c>
      <c r="F37" s="16"/>
    </row>
    <row r="38" spans="1:6" x14ac:dyDescent="0.2">
      <c r="A38" s="13" t="s">
        <v>50</v>
      </c>
      <c r="B38" s="13" t="s">
        <v>41</v>
      </c>
      <c r="C38" s="13">
        <v>73</v>
      </c>
      <c r="D38" s="15">
        <v>11.6</v>
      </c>
      <c r="E38" s="60">
        <f t="shared" si="0"/>
        <v>846.8</v>
      </c>
      <c r="F38" s="16"/>
    </row>
    <row r="39" spans="1:6" x14ac:dyDescent="0.2">
      <c r="A39" s="13" t="s">
        <v>50</v>
      </c>
      <c r="B39" s="13" t="s">
        <v>42</v>
      </c>
      <c r="C39" s="13">
        <v>100</v>
      </c>
      <c r="D39" s="15">
        <v>9.99</v>
      </c>
      <c r="E39" s="60">
        <f t="shared" si="0"/>
        <v>999</v>
      </c>
      <c r="F39" s="16"/>
    </row>
    <row r="40" spans="1:6" x14ac:dyDescent="0.2">
      <c r="A40" s="13" t="s">
        <v>50</v>
      </c>
      <c r="B40" s="13" t="s">
        <v>43</v>
      </c>
      <c r="C40" s="13">
        <v>81</v>
      </c>
      <c r="D40" s="15">
        <v>10</v>
      </c>
      <c r="E40" s="60">
        <f t="shared" si="0"/>
        <v>810</v>
      </c>
      <c r="F40" s="16"/>
    </row>
    <row r="41" spans="1:6" x14ac:dyDescent="0.2">
      <c r="A41" s="13" t="s">
        <v>50</v>
      </c>
      <c r="B41" s="13" t="s">
        <v>44</v>
      </c>
      <c r="C41" s="13">
        <v>110</v>
      </c>
      <c r="D41" s="15">
        <v>9.99</v>
      </c>
      <c r="E41" s="60">
        <f t="shared" si="0"/>
        <v>1098.9000000000001</v>
      </c>
      <c r="F41" s="16"/>
    </row>
    <row r="42" spans="1:6" x14ac:dyDescent="0.2">
      <c r="A42" s="13" t="s">
        <v>50</v>
      </c>
      <c r="B42" s="13" t="s">
        <v>44</v>
      </c>
      <c r="C42" s="13">
        <v>65</v>
      </c>
      <c r="D42" s="15">
        <v>9.99</v>
      </c>
      <c r="E42" s="60">
        <f t="shared" si="0"/>
        <v>649.35</v>
      </c>
      <c r="F42" s="16"/>
    </row>
    <row r="43" spans="1:6" x14ac:dyDescent="0.2">
      <c r="A43" s="13" t="s">
        <v>50</v>
      </c>
      <c r="B43" s="13" t="s">
        <v>44</v>
      </c>
      <c r="C43" s="13">
        <v>90</v>
      </c>
      <c r="D43" s="15">
        <v>9.99</v>
      </c>
      <c r="E43" s="60">
        <f t="shared" si="0"/>
        <v>899.1</v>
      </c>
      <c r="F43" s="16"/>
    </row>
  </sheetData>
  <phoneticPr fontId="0" type="noConversion"/>
  <printOptions gridLines="1" gridLinesSet="0"/>
  <pageMargins left="0.75" right="0.75" top="1" bottom="1" header="0.5" footer="0.5"/>
  <pageSetup orientation="portrait" horizontalDpi="0" verticalDpi="0" copies="0" r:id="rId1"/>
  <headerFooter alignWithMargins="0">
    <oddHeader>&amp;A</oddHeader>
    <oddFooter>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F8"/>
  <sheetViews>
    <sheetView zoomScale="160" zoomScaleNormal="160" workbookViewId="0">
      <selection activeCell="G11" sqref="G11"/>
    </sheetView>
  </sheetViews>
  <sheetFormatPr defaultRowHeight="12.75" x14ac:dyDescent="0.2"/>
  <cols>
    <col min="1" max="1" width="14.42578125" customWidth="1"/>
    <col min="2" max="5" width="13.140625" customWidth="1"/>
    <col min="6" max="6" width="12.140625" bestFit="1" customWidth="1"/>
  </cols>
  <sheetData>
    <row r="1" spans="1:6" ht="18.75" thickBot="1" x14ac:dyDescent="0.3">
      <c r="A1" s="80" t="s">
        <v>51</v>
      </c>
      <c r="B1" s="81"/>
      <c r="C1" s="81"/>
      <c r="D1" s="81"/>
      <c r="E1" s="81"/>
      <c r="F1" s="81"/>
    </row>
    <row r="2" spans="1:6" ht="13.5" thickBot="1" x14ac:dyDescent="0.25"/>
    <row r="3" spans="1:6" ht="15" x14ac:dyDescent="0.25">
      <c r="A3" s="49" t="s">
        <v>52</v>
      </c>
      <c r="B3" s="50" t="s">
        <v>53</v>
      </c>
      <c r="C3" s="50" t="s">
        <v>54</v>
      </c>
      <c r="D3" s="50" t="s">
        <v>55</v>
      </c>
      <c r="E3" s="50" t="s">
        <v>56</v>
      </c>
      <c r="F3" s="51" t="s">
        <v>57</v>
      </c>
    </row>
    <row r="4" spans="1:6" ht="14.25" x14ac:dyDescent="0.2">
      <c r="A4" s="17" t="s">
        <v>58</v>
      </c>
      <c r="B4" s="61">
        <v>4520</v>
      </c>
      <c r="C4" s="62">
        <v>3620</v>
      </c>
      <c r="D4" s="62">
        <v>2560</v>
      </c>
      <c r="E4" s="62">
        <v>2750</v>
      </c>
      <c r="F4" s="63">
        <f>SUM(B4:E4)</f>
        <v>13450</v>
      </c>
    </row>
    <row r="5" spans="1:6" ht="14.25" x14ac:dyDescent="0.2">
      <c r="A5" s="17" t="s">
        <v>59</v>
      </c>
      <c r="B5" s="64">
        <v>3220</v>
      </c>
      <c r="C5" s="65">
        <v>5230</v>
      </c>
      <c r="D5" s="65">
        <v>4550</v>
      </c>
      <c r="E5" s="65">
        <v>5400</v>
      </c>
      <c r="F5" s="66">
        <f>SUM(B5:E5)</f>
        <v>18400</v>
      </c>
    </row>
    <row r="6" spans="1:6" ht="14.25" x14ac:dyDescent="0.2">
      <c r="A6" s="17" t="s">
        <v>60</v>
      </c>
      <c r="B6" s="64">
        <v>4560</v>
      </c>
      <c r="C6" s="65">
        <v>2320</v>
      </c>
      <c r="D6" s="65">
        <v>3220</v>
      </c>
      <c r="E6" s="65">
        <v>2320</v>
      </c>
      <c r="F6" s="66">
        <f>SUM(B6:E6)</f>
        <v>12420</v>
      </c>
    </row>
    <row r="7" spans="1:6" ht="14.25" x14ac:dyDescent="0.2">
      <c r="A7" s="17" t="s">
        <v>61</v>
      </c>
      <c r="B7" s="64">
        <v>5600</v>
      </c>
      <c r="C7" s="65">
        <v>6510</v>
      </c>
      <c r="D7" s="65">
        <v>5660</v>
      </c>
      <c r="E7" s="65">
        <v>4500</v>
      </c>
      <c r="F7" s="66">
        <f>SUM(B7:E7)</f>
        <v>22270</v>
      </c>
    </row>
    <row r="8" spans="1:6" ht="14.25" x14ac:dyDescent="0.2">
      <c r="A8" s="17" t="s">
        <v>62</v>
      </c>
      <c r="B8" s="67">
        <v>2330</v>
      </c>
      <c r="C8" s="68">
        <v>4520</v>
      </c>
      <c r="D8" s="68">
        <v>5500</v>
      </c>
      <c r="E8" s="68">
        <v>4510</v>
      </c>
      <c r="F8" s="69">
        <f>SUM(B8:E8)</f>
        <v>16860</v>
      </c>
    </row>
  </sheetData>
  <mergeCells count="1">
    <mergeCell ref="A1:F1"/>
  </mergeCells>
  <phoneticPr fontId="0" type="noConversion"/>
  <pageMargins left="0.75" right="0.75" top="1" bottom="1" header="0.5" footer="0.5"/>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K41"/>
  <sheetViews>
    <sheetView topLeftCell="A16" workbookViewId="0">
      <selection activeCell="C2" sqref="C2:C41"/>
    </sheetView>
  </sheetViews>
  <sheetFormatPr defaultRowHeight="12.75" x14ac:dyDescent="0.2"/>
  <cols>
    <col min="1" max="1" width="13" customWidth="1"/>
    <col min="2" max="5" width="13" style="22" customWidth="1"/>
    <col min="7" max="7" width="8.140625" customWidth="1"/>
    <col min="8" max="8" width="13.42578125" customWidth="1"/>
  </cols>
  <sheetData>
    <row r="1" spans="1:11" ht="18.75" thickBot="1" x14ac:dyDescent="0.3">
      <c r="A1" s="40" t="s">
        <v>73</v>
      </c>
      <c r="B1" s="40" t="s">
        <v>74</v>
      </c>
      <c r="C1" s="40" t="s">
        <v>75</v>
      </c>
      <c r="D1" s="40" t="s">
        <v>76</v>
      </c>
      <c r="E1" s="40" t="s">
        <v>77</v>
      </c>
      <c r="G1" s="20"/>
      <c r="H1" s="21"/>
      <c r="I1" s="21"/>
      <c r="J1" s="21"/>
      <c r="K1" s="21"/>
    </row>
    <row r="2" spans="1:11" ht="13.5" thickTop="1" x14ac:dyDescent="0.2">
      <c r="A2" t="s">
        <v>84</v>
      </c>
      <c r="B2" s="22">
        <v>2015</v>
      </c>
      <c r="C2" s="70">
        <v>1050</v>
      </c>
      <c r="D2" s="22">
        <v>99</v>
      </c>
      <c r="E2" s="22" t="s">
        <v>80</v>
      </c>
      <c r="I2" s="18"/>
      <c r="J2" s="22"/>
      <c r="K2" s="22"/>
    </row>
    <row r="3" spans="1:11" x14ac:dyDescent="0.2">
      <c r="A3" t="s">
        <v>88</v>
      </c>
      <c r="B3" s="22">
        <v>2015</v>
      </c>
      <c r="C3" s="70">
        <v>1050</v>
      </c>
      <c r="D3" s="22">
        <v>89</v>
      </c>
      <c r="E3" s="22" t="s">
        <v>80</v>
      </c>
      <c r="J3" s="22"/>
      <c r="K3" s="22"/>
    </row>
    <row r="4" spans="1:11" x14ac:dyDescent="0.2">
      <c r="A4" t="s">
        <v>86</v>
      </c>
      <c r="B4" s="22">
        <v>2015</v>
      </c>
      <c r="C4" s="70">
        <v>1050</v>
      </c>
      <c r="D4" s="22">
        <v>131</v>
      </c>
      <c r="E4" s="22" t="s">
        <v>80</v>
      </c>
      <c r="J4" s="22"/>
      <c r="K4" s="22"/>
    </row>
    <row r="5" spans="1:11" x14ac:dyDescent="0.2">
      <c r="A5" t="s">
        <v>86</v>
      </c>
      <c r="B5" s="22">
        <v>2015</v>
      </c>
      <c r="C5" s="70">
        <v>1050</v>
      </c>
      <c r="D5" s="22">
        <v>131</v>
      </c>
      <c r="E5" s="22" t="s">
        <v>80</v>
      </c>
      <c r="H5" s="22"/>
      <c r="J5" s="22"/>
      <c r="K5" s="22"/>
    </row>
    <row r="6" spans="1:11" x14ac:dyDescent="0.2">
      <c r="A6" t="s">
        <v>82</v>
      </c>
      <c r="B6" s="22">
        <v>2015</v>
      </c>
      <c r="C6" s="70">
        <v>1050</v>
      </c>
      <c r="D6" s="22">
        <v>101</v>
      </c>
      <c r="E6" s="22" t="s">
        <v>80</v>
      </c>
      <c r="I6" s="18"/>
    </row>
    <row r="7" spans="1:11" x14ac:dyDescent="0.2">
      <c r="A7" t="s">
        <v>84</v>
      </c>
      <c r="B7" s="22">
        <v>2015</v>
      </c>
      <c r="C7" s="70">
        <v>1105</v>
      </c>
      <c r="D7" s="22">
        <v>70</v>
      </c>
      <c r="E7" s="22" t="s">
        <v>79</v>
      </c>
      <c r="J7" s="23"/>
    </row>
    <row r="8" spans="1:11" x14ac:dyDescent="0.2">
      <c r="A8" t="s">
        <v>88</v>
      </c>
      <c r="B8" s="22">
        <v>2015</v>
      </c>
      <c r="C8" s="70">
        <v>1105</v>
      </c>
      <c r="D8" s="22">
        <v>171</v>
      </c>
      <c r="E8" s="22" t="s">
        <v>79</v>
      </c>
    </row>
    <row r="9" spans="1:11" x14ac:dyDescent="0.2">
      <c r="A9" t="s">
        <v>86</v>
      </c>
      <c r="B9" s="22">
        <v>2015</v>
      </c>
      <c r="C9" s="70">
        <v>1105</v>
      </c>
      <c r="D9" s="22">
        <v>125</v>
      </c>
      <c r="E9" s="22" t="s">
        <v>79</v>
      </c>
    </row>
    <row r="10" spans="1:11" x14ac:dyDescent="0.2">
      <c r="A10" t="s">
        <v>86</v>
      </c>
      <c r="B10" s="22">
        <v>2015</v>
      </c>
      <c r="C10" s="70">
        <v>1105</v>
      </c>
      <c r="D10" s="22">
        <v>125</v>
      </c>
      <c r="E10" s="22" t="s">
        <v>79</v>
      </c>
    </row>
    <row r="11" spans="1:11" x14ac:dyDescent="0.2">
      <c r="A11" t="s">
        <v>82</v>
      </c>
      <c r="B11" s="22">
        <v>2015</v>
      </c>
      <c r="C11" s="70">
        <v>1105</v>
      </c>
      <c r="D11" s="22">
        <v>111</v>
      </c>
      <c r="E11" s="22" t="s">
        <v>79</v>
      </c>
    </row>
    <row r="12" spans="1:11" x14ac:dyDescent="0.2">
      <c r="A12" t="s">
        <v>84</v>
      </c>
      <c r="B12" s="22">
        <v>2015</v>
      </c>
      <c r="C12" s="70">
        <v>1200</v>
      </c>
      <c r="D12" s="22">
        <v>161</v>
      </c>
      <c r="E12" s="22" t="s">
        <v>69</v>
      </c>
    </row>
    <row r="13" spans="1:11" x14ac:dyDescent="0.2">
      <c r="A13" t="s">
        <v>83</v>
      </c>
      <c r="B13" s="22">
        <v>2015</v>
      </c>
      <c r="C13" s="70">
        <v>1200</v>
      </c>
      <c r="D13" s="22">
        <v>171</v>
      </c>
      <c r="E13" s="22" t="s">
        <v>69</v>
      </c>
    </row>
    <row r="14" spans="1:11" x14ac:dyDescent="0.2">
      <c r="A14" t="s">
        <v>87</v>
      </c>
      <c r="B14" s="22">
        <v>2015</v>
      </c>
      <c r="C14" s="70">
        <v>1200</v>
      </c>
      <c r="D14" s="22">
        <v>70</v>
      </c>
      <c r="E14" s="22" t="s">
        <v>69</v>
      </c>
    </row>
    <row r="15" spans="1:11" x14ac:dyDescent="0.2">
      <c r="A15" t="s">
        <v>78</v>
      </c>
      <c r="B15" s="22">
        <v>2015</v>
      </c>
      <c r="C15" s="70">
        <v>1200</v>
      </c>
      <c r="D15" s="22">
        <v>125</v>
      </c>
      <c r="E15" s="22" t="s">
        <v>69</v>
      </c>
    </row>
    <row r="16" spans="1:11" x14ac:dyDescent="0.2">
      <c r="A16" t="s">
        <v>88</v>
      </c>
      <c r="B16" s="22">
        <v>2015</v>
      </c>
      <c r="C16" s="70">
        <v>1200</v>
      </c>
      <c r="D16" s="22">
        <v>146</v>
      </c>
      <c r="E16" s="22" t="s">
        <v>69</v>
      </c>
    </row>
    <row r="17" spans="1:5" x14ac:dyDescent="0.2">
      <c r="A17" t="s">
        <v>86</v>
      </c>
      <c r="B17" s="22">
        <v>2015</v>
      </c>
      <c r="C17" s="70">
        <v>1200</v>
      </c>
      <c r="D17" s="22">
        <v>152</v>
      </c>
      <c r="E17" s="22" t="s">
        <v>69</v>
      </c>
    </row>
    <row r="18" spans="1:5" x14ac:dyDescent="0.2">
      <c r="A18" t="s">
        <v>86</v>
      </c>
      <c r="B18" s="22">
        <v>2015</v>
      </c>
      <c r="C18" s="70">
        <v>1200</v>
      </c>
      <c r="D18" s="22">
        <v>113</v>
      </c>
      <c r="E18" s="22" t="s">
        <v>69</v>
      </c>
    </row>
    <row r="19" spans="1:5" x14ac:dyDescent="0.2">
      <c r="A19" t="s">
        <v>85</v>
      </c>
      <c r="B19" s="22">
        <v>2015</v>
      </c>
      <c r="C19" s="70">
        <v>1200</v>
      </c>
      <c r="D19" s="22">
        <v>101</v>
      </c>
      <c r="E19" s="22" t="s">
        <v>69</v>
      </c>
    </row>
    <row r="20" spans="1:5" x14ac:dyDescent="0.2">
      <c r="A20" t="s">
        <v>82</v>
      </c>
      <c r="B20" s="22">
        <v>2015</v>
      </c>
      <c r="C20" s="70">
        <v>1200</v>
      </c>
      <c r="D20" s="22">
        <v>99</v>
      </c>
      <c r="E20" s="22" t="s">
        <v>69</v>
      </c>
    </row>
    <row r="21" spans="1:5" x14ac:dyDescent="0.2">
      <c r="A21" t="s">
        <v>89</v>
      </c>
      <c r="B21" s="22">
        <v>2015</v>
      </c>
      <c r="C21" s="70">
        <v>1200</v>
      </c>
      <c r="D21" s="22">
        <v>146</v>
      </c>
      <c r="E21" s="22" t="s">
        <v>69</v>
      </c>
    </row>
    <row r="22" spans="1:5" x14ac:dyDescent="0.2">
      <c r="A22" t="s">
        <v>89</v>
      </c>
      <c r="B22" s="22">
        <v>2015</v>
      </c>
      <c r="C22" s="70">
        <v>1211</v>
      </c>
      <c r="D22" s="22">
        <v>116</v>
      </c>
      <c r="E22" s="22" t="s">
        <v>81</v>
      </c>
    </row>
    <row r="23" spans="1:5" x14ac:dyDescent="0.2">
      <c r="A23" t="s">
        <v>83</v>
      </c>
      <c r="B23" s="22">
        <v>2015</v>
      </c>
      <c r="C23" s="70">
        <v>1350</v>
      </c>
      <c r="D23" s="22">
        <v>89</v>
      </c>
      <c r="E23" s="22" t="s">
        <v>79</v>
      </c>
    </row>
    <row r="24" spans="1:5" x14ac:dyDescent="0.2">
      <c r="A24" t="s">
        <v>87</v>
      </c>
      <c r="B24" s="22">
        <v>2015</v>
      </c>
      <c r="C24" s="70">
        <v>1350</v>
      </c>
      <c r="D24" s="22">
        <v>99</v>
      </c>
      <c r="E24" s="22" t="s">
        <v>79</v>
      </c>
    </row>
    <row r="25" spans="1:5" x14ac:dyDescent="0.2">
      <c r="A25" t="s">
        <v>78</v>
      </c>
      <c r="B25" s="22">
        <v>2015</v>
      </c>
      <c r="C25" s="70">
        <v>1350</v>
      </c>
      <c r="D25" s="22">
        <v>131</v>
      </c>
      <c r="E25" s="22" t="s">
        <v>79</v>
      </c>
    </row>
    <row r="26" spans="1:5" x14ac:dyDescent="0.2">
      <c r="A26" t="s">
        <v>85</v>
      </c>
      <c r="B26" s="22">
        <v>2015</v>
      </c>
      <c r="C26" s="70">
        <v>1350</v>
      </c>
      <c r="D26" s="22">
        <v>146</v>
      </c>
      <c r="E26" s="22" t="s">
        <v>79</v>
      </c>
    </row>
    <row r="27" spans="1:5" x14ac:dyDescent="0.2">
      <c r="A27" t="s">
        <v>89</v>
      </c>
      <c r="B27" s="22">
        <v>2015</v>
      </c>
      <c r="C27" s="70">
        <v>1350</v>
      </c>
      <c r="D27" s="22">
        <v>171</v>
      </c>
      <c r="E27" s="22" t="s">
        <v>79</v>
      </c>
    </row>
    <row r="28" spans="1:5" x14ac:dyDescent="0.2">
      <c r="A28" t="s">
        <v>83</v>
      </c>
      <c r="B28" s="22">
        <v>2015</v>
      </c>
      <c r="C28" s="70">
        <v>1435</v>
      </c>
      <c r="D28" s="22">
        <v>125</v>
      </c>
      <c r="E28" s="22" t="s">
        <v>80</v>
      </c>
    </row>
    <row r="29" spans="1:5" x14ac:dyDescent="0.2">
      <c r="A29" t="s">
        <v>87</v>
      </c>
      <c r="B29" s="22">
        <v>2015</v>
      </c>
      <c r="C29" s="70">
        <v>1435</v>
      </c>
      <c r="D29" s="22">
        <v>111</v>
      </c>
      <c r="E29" s="22" t="s">
        <v>80</v>
      </c>
    </row>
    <row r="30" spans="1:5" x14ac:dyDescent="0.2">
      <c r="A30" t="s">
        <v>78</v>
      </c>
      <c r="B30" s="22">
        <v>2015</v>
      </c>
      <c r="C30" s="70">
        <v>1435</v>
      </c>
      <c r="D30" s="22">
        <v>161</v>
      </c>
      <c r="E30" s="22" t="s">
        <v>80</v>
      </c>
    </row>
    <row r="31" spans="1:5" x14ac:dyDescent="0.2">
      <c r="A31" t="s">
        <v>85</v>
      </c>
      <c r="B31" s="22">
        <v>2015</v>
      </c>
      <c r="C31" s="70">
        <v>1435</v>
      </c>
      <c r="D31" s="22">
        <v>171</v>
      </c>
      <c r="E31" s="22" t="s">
        <v>80</v>
      </c>
    </row>
    <row r="32" spans="1:5" x14ac:dyDescent="0.2">
      <c r="A32" t="s">
        <v>89</v>
      </c>
      <c r="B32" s="22">
        <v>2015</v>
      </c>
      <c r="C32" s="70">
        <v>1435</v>
      </c>
      <c r="D32" s="22">
        <v>142</v>
      </c>
      <c r="E32" s="22" t="s">
        <v>80</v>
      </c>
    </row>
    <row r="33" spans="1:5" x14ac:dyDescent="0.2">
      <c r="A33" t="s">
        <v>83</v>
      </c>
      <c r="B33" s="22">
        <v>2015</v>
      </c>
      <c r="C33" s="70">
        <v>1672</v>
      </c>
      <c r="D33" s="22">
        <v>131</v>
      </c>
      <c r="E33" s="22" t="s">
        <v>81</v>
      </c>
    </row>
    <row r="34" spans="1:5" x14ac:dyDescent="0.2">
      <c r="A34" t="s">
        <v>87</v>
      </c>
      <c r="B34" s="22">
        <v>2015</v>
      </c>
      <c r="C34" s="70">
        <v>1672</v>
      </c>
      <c r="D34" s="22">
        <v>101</v>
      </c>
      <c r="E34" s="22" t="s">
        <v>81</v>
      </c>
    </row>
    <row r="35" spans="1:5" x14ac:dyDescent="0.2">
      <c r="A35" t="s">
        <v>78</v>
      </c>
      <c r="B35" s="22">
        <v>2015</v>
      </c>
      <c r="C35" s="70">
        <v>1672</v>
      </c>
      <c r="D35" s="22">
        <v>70</v>
      </c>
      <c r="E35" s="22" t="s">
        <v>81</v>
      </c>
    </row>
    <row r="36" spans="1:5" x14ac:dyDescent="0.2">
      <c r="A36" t="s">
        <v>85</v>
      </c>
      <c r="B36" s="22">
        <v>2015</v>
      </c>
      <c r="C36" s="70">
        <v>1672</v>
      </c>
      <c r="D36" s="22">
        <v>89</v>
      </c>
      <c r="E36" s="22" t="s">
        <v>81</v>
      </c>
    </row>
    <row r="37" spans="1:5" x14ac:dyDescent="0.2">
      <c r="A37" t="s">
        <v>84</v>
      </c>
      <c r="B37" s="22">
        <v>2015</v>
      </c>
      <c r="C37" s="70">
        <v>1690</v>
      </c>
      <c r="D37" s="22">
        <v>111</v>
      </c>
      <c r="E37" s="22" t="s">
        <v>81</v>
      </c>
    </row>
    <row r="38" spans="1:5" x14ac:dyDescent="0.2">
      <c r="A38" t="s">
        <v>88</v>
      </c>
      <c r="B38" s="22">
        <v>2015</v>
      </c>
      <c r="C38" s="70">
        <v>1690</v>
      </c>
      <c r="D38" s="22">
        <v>101</v>
      </c>
      <c r="E38" s="22" t="s">
        <v>81</v>
      </c>
    </row>
    <row r="39" spans="1:5" x14ac:dyDescent="0.2">
      <c r="A39" t="s">
        <v>86</v>
      </c>
      <c r="B39" s="22">
        <v>2015</v>
      </c>
      <c r="C39" s="70">
        <v>1690</v>
      </c>
      <c r="D39" s="22">
        <v>161</v>
      </c>
      <c r="E39" s="22" t="s">
        <v>81</v>
      </c>
    </row>
    <row r="40" spans="1:5" x14ac:dyDescent="0.2">
      <c r="A40" t="s">
        <v>86</v>
      </c>
      <c r="B40" s="22">
        <v>2015</v>
      </c>
      <c r="C40" s="70">
        <v>1690</v>
      </c>
      <c r="D40" s="22">
        <v>161</v>
      </c>
      <c r="E40" s="22" t="s">
        <v>81</v>
      </c>
    </row>
    <row r="41" spans="1:5" x14ac:dyDescent="0.2">
      <c r="A41" t="s">
        <v>82</v>
      </c>
      <c r="B41" s="22">
        <v>2015</v>
      </c>
      <c r="C41" s="70">
        <v>1690</v>
      </c>
      <c r="D41" s="22">
        <v>146</v>
      </c>
      <c r="E41" s="22" t="s">
        <v>81</v>
      </c>
    </row>
  </sheetData>
  <phoneticPr fontId="0" type="noConversion"/>
  <pageMargins left="0.75" right="0.75" top="1" bottom="1" header="0.5" footer="0.5"/>
  <headerFooter alignWithMargins="0">
    <oddHeader>&amp;A</oddHeader>
    <oddFooter>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4:G21"/>
  <sheetViews>
    <sheetView workbookViewId="0">
      <selection activeCell="E17" sqref="E17"/>
    </sheetView>
  </sheetViews>
  <sheetFormatPr defaultRowHeight="12.75" x14ac:dyDescent="0.2"/>
  <cols>
    <col min="1" max="1" width="25" customWidth="1"/>
    <col min="3" max="3" width="16.42578125" customWidth="1"/>
    <col min="4" max="4" width="18.42578125" customWidth="1"/>
    <col min="5" max="5" width="12.28515625" customWidth="1"/>
    <col min="6" max="6" width="16" customWidth="1"/>
  </cols>
  <sheetData>
    <row r="4" spans="1:7" ht="13.5" thickBot="1" x14ac:dyDescent="0.25">
      <c r="A4" s="41" t="s">
        <v>91</v>
      </c>
      <c r="B4" s="41" t="s">
        <v>63</v>
      </c>
      <c r="C4" s="41" t="s">
        <v>92</v>
      </c>
      <c r="D4" s="41" t="s">
        <v>93</v>
      </c>
      <c r="E4" s="41" t="s">
        <v>94</v>
      </c>
      <c r="F4" s="41" t="s">
        <v>95</v>
      </c>
      <c r="G4" s="41" t="s">
        <v>96</v>
      </c>
    </row>
    <row r="5" spans="1:7" x14ac:dyDescent="0.2">
      <c r="A5" t="s">
        <v>97</v>
      </c>
      <c r="B5" s="19">
        <v>34460</v>
      </c>
      <c r="C5" t="s">
        <v>21</v>
      </c>
      <c r="D5" t="s">
        <v>21</v>
      </c>
      <c r="E5" t="s">
        <v>21</v>
      </c>
      <c r="F5">
        <v>2121</v>
      </c>
      <c r="G5">
        <v>220</v>
      </c>
    </row>
    <row r="6" spans="1:7" x14ac:dyDescent="0.2">
      <c r="A6" t="s">
        <v>98</v>
      </c>
      <c r="B6" s="19">
        <v>34460</v>
      </c>
      <c r="C6" t="s">
        <v>21</v>
      </c>
      <c r="D6" t="s">
        <v>21</v>
      </c>
      <c r="E6" t="s">
        <v>21</v>
      </c>
      <c r="F6">
        <v>2122</v>
      </c>
      <c r="G6">
        <v>221</v>
      </c>
    </row>
    <row r="7" spans="1:7" x14ac:dyDescent="0.2">
      <c r="A7" t="s">
        <v>99</v>
      </c>
      <c r="B7" s="19">
        <v>34589</v>
      </c>
      <c r="C7" t="s">
        <v>21</v>
      </c>
      <c r="D7" t="s">
        <v>21</v>
      </c>
      <c r="E7" t="s">
        <v>21</v>
      </c>
      <c r="F7">
        <v>2345</v>
      </c>
      <c r="G7">
        <v>223</v>
      </c>
    </row>
    <row r="8" spans="1:7" x14ac:dyDescent="0.2">
      <c r="A8" t="s">
        <v>100</v>
      </c>
      <c r="B8" s="19">
        <v>34595</v>
      </c>
      <c r="C8" t="s">
        <v>21</v>
      </c>
      <c r="D8" t="s">
        <v>21</v>
      </c>
      <c r="E8" t="s">
        <v>21</v>
      </c>
      <c r="F8">
        <v>4532</v>
      </c>
      <c r="G8">
        <v>220</v>
      </c>
    </row>
    <row r="9" spans="1:7" x14ac:dyDescent="0.2">
      <c r="A9" t="s">
        <v>101</v>
      </c>
      <c r="B9" s="19">
        <v>34618</v>
      </c>
      <c r="C9" t="s">
        <v>21</v>
      </c>
      <c r="D9" t="s">
        <v>21</v>
      </c>
      <c r="E9" t="s">
        <v>21</v>
      </c>
      <c r="F9">
        <v>4324</v>
      </c>
      <c r="G9">
        <v>221</v>
      </c>
    </row>
    <row r="10" spans="1:7" x14ac:dyDescent="0.2">
      <c r="A10" t="s">
        <v>102</v>
      </c>
      <c r="B10" s="19">
        <v>34367</v>
      </c>
      <c r="C10" t="s">
        <v>21</v>
      </c>
      <c r="D10" t="s">
        <v>21</v>
      </c>
      <c r="E10" t="s">
        <v>21</v>
      </c>
      <c r="F10">
        <v>3456</v>
      </c>
      <c r="G10">
        <v>223</v>
      </c>
    </row>
    <row r="11" spans="1:7" x14ac:dyDescent="0.2">
      <c r="A11" t="s">
        <v>103</v>
      </c>
      <c r="B11" s="19">
        <v>34428</v>
      </c>
      <c r="C11" t="s">
        <v>21</v>
      </c>
      <c r="D11" t="s">
        <v>21</v>
      </c>
      <c r="E11" t="s">
        <v>21</v>
      </c>
      <c r="F11">
        <v>3234</v>
      </c>
      <c r="G11">
        <v>223</v>
      </c>
    </row>
    <row r="12" spans="1:7" x14ac:dyDescent="0.2">
      <c r="A12" t="s">
        <v>104</v>
      </c>
      <c r="B12" s="19">
        <v>34470</v>
      </c>
      <c r="C12" t="s">
        <v>21</v>
      </c>
      <c r="D12" t="s">
        <v>21</v>
      </c>
      <c r="E12" t="s">
        <v>21</v>
      </c>
      <c r="F12">
        <v>2323</v>
      </c>
      <c r="G12">
        <v>222</v>
      </c>
    </row>
    <row r="13" spans="1:7" x14ac:dyDescent="0.2">
      <c r="A13" t="s">
        <v>105</v>
      </c>
      <c r="B13" s="19">
        <v>34502</v>
      </c>
      <c r="C13" t="s">
        <v>21</v>
      </c>
      <c r="D13" t="s">
        <v>21</v>
      </c>
      <c r="E13" t="s">
        <v>21</v>
      </c>
      <c r="F13">
        <v>5433</v>
      </c>
      <c r="G13">
        <v>221</v>
      </c>
    </row>
    <row r="14" spans="1:7" x14ac:dyDescent="0.2">
      <c r="A14" t="s">
        <v>106</v>
      </c>
      <c r="B14" s="19">
        <v>34712</v>
      </c>
      <c r="C14" t="s">
        <v>21</v>
      </c>
      <c r="D14" t="s">
        <v>21</v>
      </c>
      <c r="E14" t="s">
        <v>21</v>
      </c>
      <c r="F14">
        <v>5431</v>
      </c>
      <c r="G14">
        <v>223</v>
      </c>
    </row>
    <row r="15" spans="1:7" x14ac:dyDescent="0.2">
      <c r="A15" t="s">
        <v>107</v>
      </c>
      <c r="B15" s="19">
        <v>34714</v>
      </c>
      <c r="C15" t="s">
        <v>21</v>
      </c>
      <c r="D15" t="s">
        <v>20</v>
      </c>
      <c r="E15" t="s">
        <v>21</v>
      </c>
      <c r="F15">
        <v>5434</v>
      </c>
      <c r="G15">
        <v>220</v>
      </c>
    </row>
    <row r="16" spans="1:7" x14ac:dyDescent="0.2">
      <c r="A16" t="s">
        <v>108</v>
      </c>
      <c r="B16" s="19">
        <v>34744</v>
      </c>
      <c r="C16" t="s">
        <v>21</v>
      </c>
      <c r="D16" t="s">
        <v>20</v>
      </c>
      <c r="E16" t="s">
        <v>21</v>
      </c>
      <c r="F16">
        <v>5453</v>
      </c>
      <c r="G16">
        <v>221</v>
      </c>
    </row>
    <row r="17" spans="1:7" x14ac:dyDescent="0.2">
      <c r="A17" t="s">
        <v>109</v>
      </c>
      <c r="B17" s="19">
        <v>34758</v>
      </c>
      <c r="C17" t="s">
        <v>21</v>
      </c>
      <c r="D17" t="s">
        <v>20</v>
      </c>
      <c r="E17" t="s">
        <v>21</v>
      </c>
      <c r="F17">
        <v>5437</v>
      </c>
      <c r="G17">
        <v>223</v>
      </c>
    </row>
    <row r="18" spans="1:7" x14ac:dyDescent="0.2">
      <c r="A18" t="s">
        <v>110</v>
      </c>
      <c r="B18" s="19">
        <v>34772</v>
      </c>
      <c r="C18" t="s">
        <v>21</v>
      </c>
      <c r="D18" t="s">
        <v>21</v>
      </c>
      <c r="E18" t="s">
        <v>21</v>
      </c>
      <c r="F18">
        <v>5438</v>
      </c>
      <c r="G18">
        <v>223</v>
      </c>
    </row>
    <row r="19" spans="1:7" x14ac:dyDescent="0.2">
      <c r="A19" t="s">
        <v>111</v>
      </c>
      <c r="B19" s="19">
        <v>34770</v>
      </c>
      <c r="C19" t="s">
        <v>21</v>
      </c>
      <c r="D19" t="s">
        <v>21</v>
      </c>
      <c r="E19" t="s">
        <v>21</v>
      </c>
      <c r="F19">
        <v>5439</v>
      </c>
      <c r="G19">
        <v>222</v>
      </c>
    </row>
    <row r="20" spans="1:7" x14ac:dyDescent="0.2">
      <c r="A20" t="s">
        <v>112</v>
      </c>
      <c r="B20" s="19">
        <v>34851</v>
      </c>
      <c r="C20" t="s">
        <v>21</v>
      </c>
      <c r="D20" t="s">
        <v>21</v>
      </c>
      <c r="E20" t="s">
        <v>21</v>
      </c>
      <c r="F20">
        <v>5440</v>
      </c>
      <c r="G20">
        <v>223</v>
      </c>
    </row>
    <row r="21" spans="1:7" x14ac:dyDescent="0.2">
      <c r="A21" t="s">
        <v>113</v>
      </c>
      <c r="B21" s="19">
        <v>34518</v>
      </c>
      <c r="C21" t="s">
        <v>21</v>
      </c>
      <c r="D21" t="s">
        <v>20</v>
      </c>
      <c r="E21" t="s">
        <v>21</v>
      </c>
      <c r="F21">
        <v>5442</v>
      </c>
      <c r="G21">
        <v>222</v>
      </c>
    </row>
  </sheetData>
  <phoneticPr fontId="0" type="noConversion"/>
  <pageMargins left="0.75" right="0.75" top="1" bottom="1" header="0.5" footer="0.5"/>
  <pageSetup orientation="portrait" r:id="rId1"/>
  <headerFooter alignWithMargins="0">
    <oddHeader>&amp;A</oddHeader>
    <oddFooter>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F59"/>
  <sheetViews>
    <sheetView showGridLines="0" topLeftCell="A30" zoomScale="90" workbookViewId="0">
      <selection activeCell="C2" sqref="C2:F59"/>
    </sheetView>
  </sheetViews>
  <sheetFormatPr defaultRowHeight="12.75" x14ac:dyDescent="0.2"/>
  <cols>
    <col min="1" max="1" width="9.42578125" customWidth="1"/>
    <col min="2" max="2" width="18.7109375" style="22" customWidth="1"/>
    <col min="3" max="3" width="12.140625" style="22" customWidth="1"/>
    <col min="4" max="4" width="12.5703125" customWidth="1"/>
    <col min="5" max="5" width="12.140625" customWidth="1"/>
    <col min="6" max="6" width="13.7109375" customWidth="1"/>
    <col min="7" max="7" width="14.42578125" customWidth="1"/>
    <col min="8" max="8" width="14" customWidth="1"/>
  </cols>
  <sheetData>
    <row r="1" spans="1:6" ht="15.75" thickBot="1" x14ac:dyDescent="0.3">
      <c r="A1" s="42" t="s">
        <v>119</v>
      </c>
      <c r="B1" s="43" t="s">
        <v>120</v>
      </c>
      <c r="C1" s="44" t="s">
        <v>84</v>
      </c>
      <c r="D1" s="44" t="s">
        <v>83</v>
      </c>
      <c r="E1" s="44" t="s">
        <v>87</v>
      </c>
      <c r="F1" s="45" t="s">
        <v>121</v>
      </c>
    </row>
    <row r="2" spans="1:6" x14ac:dyDescent="0.2">
      <c r="A2" s="24" t="s">
        <v>116</v>
      </c>
      <c r="B2" s="25" t="s">
        <v>66</v>
      </c>
      <c r="C2" s="71">
        <v>800</v>
      </c>
      <c r="D2" s="71">
        <v>650</v>
      </c>
      <c r="E2" s="71">
        <v>700</v>
      </c>
      <c r="F2" s="72">
        <f t="shared" ref="F2:F33" si="0">SUM(C2:E2)</f>
        <v>2150</v>
      </c>
    </row>
    <row r="3" spans="1:6" x14ac:dyDescent="0.2">
      <c r="A3" s="24" t="s">
        <v>116</v>
      </c>
      <c r="B3" s="25" t="s">
        <v>122</v>
      </c>
      <c r="C3" s="71">
        <v>900</v>
      </c>
      <c r="D3" s="71">
        <v>850</v>
      </c>
      <c r="E3" s="71">
        <v>850</v>
      </c>
      <c r="F3" s="72">
        <f t="shared" si="0"/>
        <v>2600</v>
      </c>
    </row>
    <row r="4" spans="1:6" x14ac:dyDescent="0.2">
      <c r="A4" s="24" t="s">
        <v>116</v>
      </c>
      <c r="B4" s="25" t="s">
        <v>123</v>
      </c>
      <c r="C4" s="71">
        <v>4850</v>
      </c>
      <c r="D4" s="71">
        <v>3200</v>
      </c>
      <c r="E4" s="71">
        <v>1155</v>
      </c>
      <c r="F4" s="72">
        <f t="shared" si="0"/>
        <v>9205</v>
      </c>
    </row>
    <row r="5" spans="1:6" x14ac:dyDescent="0.2">
      <c r="A5" s="24" t="s">
        <v>116</v>
      </c>
      <c r="B5" s="25" t="s">
        <v>124</v>
      </c>
      <c r="C5" s="71">
        <v>1250</v>
      </c>
      <c r="D5" s="71">
        <v>1250</v>
      </c>
      <c r="E5" s="71">
        <v>1250</v>
      </c>
      <c r="F5" s="72">
        <f t="shared" si="0"/>
        <v>3750</v>
      </c>
    </row>
    <row r="6" spans="1:6" x14ac:dyDescent="0.2">
      <c r="A6" s="24" t="s">
        <v>116</v>
      </c>
      <c r="B6" s="25" t="s">
        <v>125</v>
      </c>
      <c r="C6" s="71">
        <v>2025</v>
      </c>
      <c r="D6" s="71">
        <v>2200</v>
      </c>
      <c r="E6" s="71">
        <v>1650</v>
      </c>
      <c r="F6" s="72">
        <f t="shared" si="0"/>
        <v>5875</v>
      </c>
    </row>
    <row r="7" spans="1:6" x14ac:dyDescent="0.2">
      <c r="A7" s="24" t="s">
        <v>116</v>
      </c>
      <c r="B7" s="25" t="s">
        <v>126</v>
      </c>
      <c r="C7" s="71">
        <v>1350</v>
      </c>
      <c r="D7" s="71">
        <v>1500</v>
      </c>
      <c r="E7" s="71">
        <v>1700</v>
      </c>
      <c r="F7" s="72">
        <f t="shared" si="0"/>
        <v>4550</v>
      </c>
    </row>
    <row r="8" spans="1:6" x14ac:dyDescent="0.2">
      <c r="A8" s="24" t="s">
        <v>116</v>
      </c>
      <c r="B8" s="25" t="s">
        <v>127</v>
      </c>
      <c r="C8" s="71">
        <v>3300</v>
      </c>
      <c r="D8" s="71">
        <v>3500</v>
      </c>
      <c r="E8" s="71">
        <v>3700</v>
      </c>
      <c r="F8" s="72">
        <f t="shared" si="0"/>
        <v>10500</v>
      </c>
    </row>
    <row r="9" spans="1:6" x14ac:dyDescent="0.2">
      <c r="A9" s="24" t="s">
        <v>116</v>
      </c>
      <c r="B9" s="25" t="s">
        <v>128</v>
      </c>
      <c r="C9" s="71">
        <v>3825</v>
      </c>
      <c r="D9" s="71">
        <v>3725</v>
      </c>
      <c r="E9" s="71">
        <v>3750</v>
      </c>
      <c r="F9" s="72">
        <f t="shared" si="0"/>
        <v>11300</v>
      </c>
    </row>
    <row r="10" spans="1:6" x14ac:dyDescent="0.2">
      <c r="A10" s="24" t="s">
        <v>116</v>
      </c>
      <c r="B10" s="25" t="s">
        <v>129</v>
      </c>
      <c r="C10" s="71">
        <v>8900</v>
      </c>
      <c r="D10" s="71">
        <v>10315</v>
      </c>
      <c r="E10" s="71">
        <v>5250</v>
      </c>
      <c r="F10" s="72">
        <f t="shared" si="0"/>
        <v>24465</v>
      </c>
    </row>
    <row r="11" spans="1:6" x14ac:dyDescent="0.2">
      <c r="A11" s="24" t="s">
        <v>116</v>
      </c>
      <c r="B11" s="25" t="s">
        <v>130</v>
      </c>
      <c r="C11" s="71">
        <v>6250</v>
      </c>
      <c r="D11" s="71">
        <v>6000</v>
      </c>
      <c r="E11" s="71">
        <v>6500</v>
      </c>
      <c r="F11" s="72">
        <f t="shared" si="0"/>
        <v>18750</v>
      </c>
    </row>
    <row r="12" spans="1:6" x14ac:dyDescent="0.2">
      <c r="A12" s="24" t="s">
        <v>116</v>
      </c>
      <c r="B12" s="25" t="s">
        <v>131</v>
      </c>
      <c r="C12" s="71">
        <v>8000</v>
      </c>
      <c r="D12" s="71">
        <v>8000</v>
      </c>
      <c r="E12" s="71">
        <v>8000</v>
      </c>
      <c r="F12" s="72">
        <f t="shared" si="0"/>
        <v>24000</v>
      </c>
    </row>
    <row r="13" spans="1:6" x14ac:dyDescent="0.2">
      <c r="A13" s="24" t="s">
        <v>116</v>
      </c>
      <c r="B13" s="25" t="s">
        <v>132</v>
      </c>
      <c r="C13" s="71">
        <v>11500</v>
      </c>
      <c r="D13" s="71">
        <v>12500</v>
      </c>
      <c r="E13" s="71">
        <v>12500</v>
      </c>
      <c r="F13" s="72">
        <f t="shared" si="0"/>
        <v>36500</v>
      </c>
    </row>
    <row r="14" spans="1:6" x14ac:dyDescent="0.2">
      <c r="A14" s="24" t="s">
        <v>116</v>
      </c>
      <c r="B14" s="25" t="s">
        <v>133</v>
      </c>
      <c r="C14" s="71">
        <v>12250</v>
      </c>
      <c r="D14" s="71">
        <v>12250</v>
      </c>
      <c r="E14" s="71">
        <v>12750</v>
      </c>
      <c r="F14" s="72">
        <f t="shared" si="0"/>
        <v>37250</v>
      </c>
    </row>
    <row r="15" spans="1:6" x14ac:dyDescent="0.2">
      <c r="A15" s="24" t="s">
        <v>116</v>
      </c>
      <c r="B15" s="25" t="s">
        <v>134</v>
      </c>
      <c r="C15" s="71">
        <v>25000</v>
      </c>
      <c r="D15" s="71">
        <v>24000</v>
      </c>
      <c r="E15" s="71">
        <v>26390</v>
      </c>
      <c r="F15" s="72">
        <f t="shared" si="0"/>
        <v>75390</v>
      </c>
    </row>
    <row r="16" spans="1:6" x14ac:dyDescent="0.2">
      <c r="A16" s="26" t="s">
        <v>115</v>
      </c>
      <c r="B16" s="25" t="s">
        <v>66</v>
      </c>
      <c r="C16" s="71">
        <v>800</v>
      </c>
      <c r="D16" s="71">
        <v>950</v>
      </c>
      <c r="E16" s="71">
        <v>750</v>
      </c>
      <c r="F16" s="72">
        <f t="shared" si="0"/>
        <v>2500</v>
      </c>
    </row>
    <row r="17" spans="1:6" x14ac:dyDescent="0.2">
      <c r="A17" s="26" t="s">
        <v>115</v>
      </c>
      <c r="B17" s="25" t="s">
        <v>124</v>
      </c>
      <c r="C17" s="71">
        <v>850</v>
      </c>
      <c r="D17" s="71">
        <v>750</v>
      </c>
      <c r="E17" s="71">
        <v>800</v>
      </c>
      <c r="F17" s="72">
        <f t="shared" si="0"/>
        <v>2400</v>
      </c>
    </row>
    <row r="18" spans="1:6" x14ac:dyDescent="0.2">
      <c r="A18" s="26" t="s">
        <v>115</v>
      </c>
      <c r="B18" s="25" t="s">
        <v>126</v>
      </c>
      <c r="C18" s="71">
        <v>940</v>
      </c>
      <c r="D18" s="71">
        <v>950</v>
      </c>
      <c r="E18" s="71">
        <v>820</v>
      </c>
      <c r="F18" s="72">
        <f t="shared" si="0"/>
        <v>2710</v>
      </c>
    </row>
    <row r="19" spans="1:6" x14ac:dyDescent="0.2">
      <c r="A19" s="26" t="s">
        <v>115</v>
      </c>
      <c r="B19" s="25" t="s">
        <v>122</v>
      </c>
      <c r="C19" s="71">
        <v>980</v>
      </c>
      <c r="D19" s="71">
        <v>850</v>
      </c>
      <c r="E19" s="71">
        <v>950</v>
      </c>
      <c r="F19" s="72">
        <f t="shared" si="0"/>
        <v>2780</v>
      </c>
    </row>
    <row r="20" spans="1:6" x14ac:dyDescent="0.2">
      <c r="A20" s="26" t="s">
        <v>115</v>
      </c>
      <c r="B20" s="25" t="s">
        <v>129</v>
      </c>
      <c r="C20" s="71">
        <v>1250</v>
      </c>
      <c r="D20" s="71">
        <v>1250</v>
      </c>
      <c r="E20" s="71">
        <v>1250</v>
      </c>
      <c r="F20" s="72">
        <f t="shared" si="0"/>
        <v>3750</v>
      </c>
    </row>
    <row r="21" spans="1:6" x14ac:dyDescent="0.2">
      <c r="A21" s="26" t="s">
        <v>115</v>
      </c>
      <c r="B21" s="25" t="s">
        <v>125</v>
      </c>
      <c r="C21" s="71">
        <v>1150</v>
      </c>
      <c r="D21" s="71">
        <v>1255</v>
      </c>
      <c r="E21" s="71">
        <v>1400</v>
      </c>
      <c r="F21" s="72">
        <f t="shared" si="0"/>
        <v>3805</v>
      </c>
    </row>
    <row r="22" spans="1:6" x14ac:dyDescent="0.2">
      <c r="A22" s="26" t="s">
        <v>115</v>
      </c>
      <c r="B22" s="25" t="s">
        <v>127</v>
      </c>
      <c r="C22" s="71">
        <v>2410</v>
      </c>
      <c r="D22" s="71">
        <v>1850</v>
      </c>
      <c r="E22" s="71">
        <v>2390</v>
      </c>
      <c r="F22" s="72">
        <f t="shared" si="0"/>
        <v>6650</v>
      </c>
    </row>
    <row r="23" spans="1:6" x14ac:dyDescent="0.2">
      <c r="A23" s="26" t="s">
        <v>115</v>
      </c>
      <c r="B23" s="25" t="s">
        <v>128</v>
      </c>
      <c r="C23" s="71">
        <v>3200</v>
      </c>
      <c r="D23" s="71">
        <v>3760</v>
      </c>
      <c r="E23" s="71">
        <v>3750</v>
      </c>
      <c r="F23" s="72">
        <f t="shared" si="0"/>
        <v>10710</v>
      </c>
    </row>
    <row r="24" spans="1:6" x14ac:dyDescent="0.2">
      <c r="A24" s="26" t="s">
        <v>115</v>
      </c>
      <c r="B24" s="25" t="s">
        <v>123</v>
      </c>
      <c r="C24" s="71">
        <v>5000</v>
      </c>
      <c r="D24" s="71">
        <v>4800</v>
      </c>
      <c r="E24" s="71">
        <v>4500</v>
      </c>
      <c r="F24" s="72">
        <f t="shared" si="0"/>
        <v>14300</v>
      </c>
    </row>
    <row r="25" spans="1:6" x14ac:dyDescent="0.2">
      <c r="A25" s="26" t="s">
        <v>115</v>
      </c>
      <c r="B25" s="25" t="s">
        <v>130</v>
      </c>
      <c r="C25" s="71">
        <v>5250</v>
      </c>
      <c r="D25" s="71">
        <v>8990</v>
      </c>
      <c r="E25" s="71">
        <v>5515</v>
      </c>
      <c r="F25" s="72">
        <f t="shared" si="0"/>
        <v>19755</v>
      </c>
    </row>
    <row r="26" spans="1:6" x14ac:dyDescent="0.2">
      <c r="A26" s="26" t="s">
        <v>115</v>
      </c>
      <c r="B26" s="25" t="s">
        <v>131</v>
      </c>
      <c r="C26" s="71">
        <v>6020</v>
      </c>
      <c r="D26" s="71">
        <v>6020</v>
      </c>
      <c r="E26" s="71">
        <v>6020</v>
      </c>
      <c r="F26" s="72">
        <f t="shared" si="0"/>
        <v>18060</v>
      </c>
    </row>
    <row r="27" spans="1:6" x14ac:dyDescent="0.2">
      <c r="A27" s="26" t="s">
        <v>115</v>
      </c>
      <c r="B27" s="25" t="s">
        <v>132</v>
      </c>
      <c r="C27" s="71">
        <v>12940</v>
      </c>
      <c r="D27" s="71">
        <v>11300</v>
      </c>
      <c r="E27" s="71">
        <v>11500</v>
      </c>
      <c r="F27" s="72">
        <f t="shared" si="0"/>
        <v>35740</v>
      </c>
    </row>
    <row r="28" spans="1:6" x14ac:dyDescent="0.2">
      <c r="A28" s="26" t="s">
        <v>115</v>
      </c>
      <c r="B28" s="25" t="s">
        <v>133</v>
      </c>
      <c r="C28" s="71">
        <v>14250</v>
      </c>
      <c r="D28" s="71">
        <v>15250</v>
      </c>
      <c r="E28" s="71">
        <v>12050</v>
      </c>
      <c r="F28" s="72">
        <f t="shared" si="0"/>
        <v>41550</v>
      </c>
    </row>
    <row r="29" spans="1:6" x14ac:dyDescent="0.2">
      <c r="A29" s="26" t="s">
        <v>115</v>
      </c>
      <c r="B29" s="25" t="s">
        <v>134</v>
      </c>
      <c r="C29" s="71">
        <v>25700</v>
      </c>
      <c r="D29" s="71">
        <v>24200</v>
      </c>
      <c r="E29" s="71">
        <v>26930</v>
      </c>
      <c r="F29" s="72">
        <f t="shared" si="0"/>
        <v>76830</v>
      </c>
    </row>
    <row r="30" spans="1:6" x14ac:dyDescent="0.2">
      <c r="A30" s="26" t="s">
        <v>118</v>
      </c>
      <c r="B30" s="25" t="s">
        <v>124</v>
      </c>
      <c r="C30" s="71">
        <v>2140</v>
      </c>
      <c r="D30" s="71">
        <v>2310</v>
      </c>
      <c r="E30" s="71">
        <v>2000</v>
      </c>
      <c r="F30" s="72">
        <f t="shared" si="0"/>
        <v>6450</v>
      </c>
    </row>
    <row r="31" spans="1:6" x14ac:dyDescent="0.2">
      <c r="A31" s="26" t="s">
        <v>118</v>
      </c>
      <c r="B31" s="25" t="s">
        <v>66</v>
      </c>
      <c r="C31" s="71">
        <v>730</v>
      </c>
      <c r="D31" s="71">
        <v>525</v>
      </c>
      <c r="E31" s="71">
        <v>430</v>
      </c>
      <c r="F31" s="72">
        <f t="shared" si="0"/>
        <v>1685</v>
      </c>
    </row>
    <row r="32" spans="1:6" x14ac:dyDescent="0.2">
      <c r="A32" s="26" t="s">
        <v>118</v>
      </c>
      <c r="B32" s="25" t="s">
        <v>122</v>
      </c>
      <c r="C32" s="71">
        <v>700</v>
      </c>
      <c r="D32" s="71">
        <v>750</v>
      </c>
      <c r="E32" s="71">
        <v>750</v>
      </c>
      <c r="F32" s="72">
        <f t="shared" si="0"/>
        <v>2200</v>
      </c>
    </row>
    <row r="33" spans="1:6" x14ac:dyDescent="0.2">
      <c r="A33" s="26" t="s">
        <v>118</v>
      </c>
      <c r="B33" s="25" t="s">
        <v>126</v>
      </c>
      <c r="C33" s="71">
        <v>2000</v>
      </c>
      <c r="D33" s="71">
        <v>950</v>
      </c>
      <c r="E33" s="71">
        <v>800</v>
      </c>
      <c r="F33" s="72">
        <f t="shared" si="0"/>
        <v>3750</v>
      </c>
    </row>
    <row r="34" spans="1:6" x14ac:dyDescent="0.2">
      <c r="A34" s="26" t="s">
        <v>118</v>
      </c>
      <c r="B34" s="25" t="s">
        <v>127</v>
      </c>
      <c r="C34" s="71">
        <v>745</v>
      </c>
      <c r="D34" s="71">
        <v>780</v>
      </c>
      <c r="E34" s="71">
        <v>900</v>
      </c>
      <c r="F34" s="72">
        <f t="shared" ref="F34:F59" si="1">SUM(C34:E34)</f>
        <v>2425</v>
      </c>
    </row>
    <row r="35" spans="1:6" x14ac:dyDescent="0.2">
      <c r="A35" s="26" t="s">
        <v>118</v>
      </c>
      <c r="B35" s="25" t="s">
        <v>125</v>
      </c>
      <c r="C35" s="71">
        <v>1150</v>
      </c>
      <c r="D35" s="71">
        <v>1200</v>
      </c>
      <c r="E35" s="71">
        <v>1400</v>
      </c>
      <c r="F35" s="72">
        <f t="shared" si="1"/>
        <v>3750</v>
      </c>
    </row>
    <row r="36" spans="1:6" x14ac:dyDescent="0.2">
      <c r="A36" s="26" t="s">
        <v>118</v>
      </c>
      <c r="B36" s="25" t="s">
        <v>123</v>
      </c>
      <c r="C36" s="71">
        <v>2780</v>
      </c>
      <c r="D36" s="71">
        <v>3590</v>
      </c>
      <c r="E36" s="71">
        <v>2300</v>
      </c>
      <c r="F36" s="72">
        <f t="shared" si="1"/>
        <v>8670</v>
      </c>
    </row>
    <row r="37" spans="1:6" x14ac:dyDescent="0.2">
      <c r="A37" s="26" t="s">
        <v>118</v>
      </c>
      <c r="B37" s="25" t="s">
        <v>129</v>
      </c>
      <c r="C37" s="71">
        <v>3490</v>
      </c>
      <c r="D37" s="71">
        <v>32840</v>
      </c>
      <c r="E37" s="71">
        <v>3070</v>
      </c>
      <c r="F37" s="72">
        <f t="shared" si="1"/>
        <v>39400</v>
      </c>
    </row>
    <row r="38" spans="1:6" x14ac:dyDescent="0.2">
      <c r="A38" s="26" t="s">
        <v>118</v>
      </c>
      <c r="B38" s="25" t="s">
        <v>131</v>
      </c>
      <c r="C38" s="71">
        <v>4700</v>
      </c>
      <c r="D38" s="71">
        <v>4700</v>
      </c>
      <c r="E38" s="71">
        <v>4700</v>
      </c>
      <c r="F38" s="72">
        <f t="shared" si="1"/>
        <v>14100</v>
      </c>
    </row>
    <row r="39" spans="1:6" x14ac:dyDescent="0.2">
      <c r="A39" s="26" t="s">
        <v>118</v>
      </c>
      <c r="B39" s="25" t="s">
        <v>130</v>
      </c>
      <c r="C39" s="71">
        <v>5250</v>
      </c>
      <c r="D39" s="71">
        <v>5000</v>
      </c>
      <c r="E39" s="71">
        <v>5500</v>
      </c>
      <c r="F39" s="72">
        <f t="shared" si="1"/>
        <v>15750</v>
      </c>
    </row>
    <row r="40" spans="1:6" x14ac:dyDescent="0.2">
      <c r="A40" s="26" t="s">
        <v>118</v>
      </c>
      <c r="B40" s="25" t="s">
        <v>128</v>
      </c>
      <c r="C40" s="71">
        <v>6980</v>
      </c>
      <c r="D40" s="71">
        <v>6310</v>
      </c>
      <c r="E40" s="71">
        <v>6375</v>
      </c>
      <c r="F40" s="72">
        <f t="shared" si="1"/>
        <v>19665</v>
      </c>
    </row>
    <row r="41" spans="1:6" x14ac:dyDescent="0.2">
      <c r="A41" s="26" t="s">
        <v>118</v>
      </c>
      <c r="B41" s="25" t="s">
        <v>133</v>
      </c>
      <c r="C41" s="71">
        <v>11250</v>
      </c>
      <c r="D41" s="71">
        <v>11250</v>
      </c>
      <c r="E41" s="71">
        <v>11750</v>
      </c>
      <c r="F41" s="72">
        <f t="shared" si="1"/>
        <v>34250</v>
      </c>
    </row>
    <row r="42" spans="1:6" x14ac:dyDescent="0.2">
      <c r="A42" s="26" t="s">
        <v>118</v>
      </c>
      <c r="B42" s="25" t="s">
        <v>132</v>
      </c>
      <c r="C42" s="71">
        <v>24500</v>
      </c>
      <c r="D42" s="71">
        <v>23500</v>
      </c>
      <c r="E42" s="71">
        <v>24500</v>
      </c>
      <c r="F42" s="72">
        <f t="shared" si="1"/>
        <v>72500</v>
      </c>
    </row>
    <row r="43" spans="1:6" x14ac:dyDescent="0.2">
      <c r="A43" s="26" t="s">
        <v>118</v>
      </c>
      <c r="B43" s="25" t="s">
        <v>135</v>
      </c>
      <c r="C43" s="71">
        <v>56900</v>
      </c>
      <c r="D43" s="71">
        <v>62800</v>
      </c>
      <c r="E43" s="71">
        <v>60870</v>
      </c>
      <c r="F43" s="72">
        <f t="shared" si="1"/>
        <v>180570</v>
      </c>
    </row>
    <row r="44" spans="1:6" x14ac:dyDescent="0.2">
      <c r="A44" s="26" t="s">
        <v>118</v>
      </c>
      <c r="B44" s="25" t="s">
        <v>134</v>
      </c>
      <c r="C44" s="71">
        <v>24290</v>
      </c>
      <c r="D44" s="71">
        <v>24050</v>
      </c>
      <c r="E44" s="71">
        <v>26600</v>
      </c>
      <c r="F44" s="72">
        <f t="shared" si="1"/>
        <v>74940</v>
      </c>
    </row>
    <row r="45" spans="1:6" x14ac:dyDescent="0.2">
      <c r="A45" s="26" t="s">
        <v>117</v>
      </c>
      <c r="B45" s="25" t="s">
        <v>124</v>
      </c>
      <c r="C45" s="71">
        <v>775</v>
      </c>
      <c r="D45" s="71">
        <v>750</v>
      </c>
      <c r="E45" s="71">
        <v>700</v>
      </c>
      <c r="F45" s="72">
        <f t="shared" si="1"/>
        <v>2225</v>
      </c>
    </row>
    <row r="46" spans="1:6" x14ac:dyDescent="0.2">
      <c r="A46" s="26" t="s">
        <v>117</v>
      </c>
      <c r="B46" s="25" t="s">
        <v>122</v>
      </c>
      <c r="C46" s="71">
        <v>700</v>
      </c>
      <c r="D46" s="71">
        <v>750</v>
      </c>
      <c r="E46" s="71">
        <v>750</v>
      </c>
      <c r="F46" s="72">
        <f t="shared" si="1"/>
        <v>2200</v>
      </c>
    </row>
    <row r="47" spans="1:6" x14ac:dyDescent="0.2">
      <c r="A47" s="26" t="s">
        <v>117</v>
      </c>
      <c r="B47" s="25" t="s">
        <v>66</v>
      </c>
      <c r="C47" s="71">
        <v>300</v>
      </c>
      <c r="D47" s="71">
        <v>100</v>
      </c>
      <c r="E47" s="71">
        <v>150</v>
      </c>
      <c r="F47" s="72">
        <f t="shared" si="1"/>
        <v>550</v>
      </c>
    </row>
    <row r="48" spans="1:6" x14ac:dyDescent="0.2">
      <c r="A48" s="26" t="s">
        <v>117</v>
      </c>
      <c r="B48" s="25" t="s">
        <v>127</v>
      </c>
      <c r="C48" s="71">
        <v>2000</v>
      </c>
      <c r="D48" s="71">
        <v>1800</v>
      </c>
      <c r="E48" s="71">
        <v>1900</v>
      </c>
      <c r="F48" s="72">
        <f t="shared" si="1"/>
        <v>5700</v>
      </c>
    </row>
    <row r="49" spans="1:6" x14ac:dyDescent="0.2">
      <c r="A49" s="26" t="s">
        <v>117</v>
      </c>
      <c r="B49" s="25" t="s">
        <v>126</v>
      </c>
      <c r="C49" s="71">
        <v>2000</v>
      </c>
      <c r="D49" s="71">
        <v>950</v>
      </c>
      <c r="E49" s="71">
        <v>800</v>
      </c>
      <c r="F49" s="72">
        <f t="shared" si="1"/>
        <v>3750</v>
      </c>
    </row>
    <row r="50" spans="1:6" x14ac:dyDescent="0.2">
      <c r="A50" s="26" t="s">
        <v>117</v>
      </c>
      <c r="B50" s="25" t="s">
        <v>129</v>
      </c>
      <c r="C50" s="71">
        <v>1250</v>
      </c>
      <c r="D50" s="71">
        <v>1250</v>
      </c>
      <c r="E50" s="71">
        <v>1250</v>
      </c>
      <c r="F50" s="72">
        <f t="shared" si="1"/>
        <v>3750</v>
      </c>
    </row>
    <row r="51" spans="1:6" x14ac:dyDescent="0.2">
      <c r="A51" s="26" t="s">
        <v>117</v>
      </c>
      <c r="B51" s="25" t="s">
        <v>125</v>
      </c>
      <c r="C51" s="71">
        <v>1150</v>
      </c>
      <c r="D51" s="71">
        <v>1200</v>
      </c>
      <c r="E51" s="71">
        <v>1435</v>
      </c>
      <c r="F51" s="72">
        <f t="shared" si="1"/>
        <v>3785</v>
      </c>
    </row>
    <row r="52" spans="1:6" x14ac:dyDescent="0.2">
      <c r="A52" s="26" t="s">
        <v>117</v>
      </c>
      <c r="B52" s="25" t="s">
        <v>128</v>
      </c>
      <c r="C52" s="71">
        <v>3800</v>
      </c>
      <c r="D52" s="71">
        <v>3700</v>
      </c>
      <c r="E52" s="71">
        <v>3750</v>
      </c>
      <c r="F52" s="72">
        <f t="shared" si="1"/>
        <v>11250</v>
      </c>
    </row>
    <row r="53" spans="1:6" x14ac:dyDescent="0.2">
      <c r="A53" s="26" t="s">
        <v>117</v>
      </c>
      <c r="B53" s="25" t="s">
        <v>123</v>
      </c>
      <c r="C53" s="71">
        <v>5000</v>
      </c>
      <c r="D53" s="71">
        <v>4800</v>
      </c>
      <c r="E53" s="71">
        <v>4545</v>
      </c>
      <c r="F53" s="72">
        <f t="shared" si="1"/>
        <v>14345</v>
      </c>
    </row>
    <row r="54" spans="1:6" x14ac:dyDescent="0.2">
      <c r="A54" s="26" t="s">
        <v>117</v>
      </c>
      <c r="B54" s="25" t="s">
        <v>131</v>
      </c>
      <c r="C54" s="71">
        <v>5000</v>
      </c>
      <c r="D54" s="71">
        <v>5000</v>
      </c>
      <c r="E54" s="71">
        <v>5000</v>
      </c>
      <c r="F54" s="72">
        <f t="shared" si="1"/>
        <v>15000</v>
      </c>
    </row>
    <row r="55" spans="1:6" x14ac:dyDescent="0.2">
      <c r="A55" s="26" t="s">
        <v>117</v>
      </c>
      <c r="B55" s="25" t="s">
        <v>130</v>
      </c>
      <c r="C55" s="71">
        <v>5250</v>
      </c>
      <c r="D55" s="71">
        <v>5335</v>
      </c>
      <c r="E55" s="71">
        <v>5500</v>
      </c>
      <c r="F55" s="72">
        <f t="shared" si="1"/>
        <v>16085</v>
      </c>
    </row>
    <row r="56" spans="1:6" x14ac:dyDescent="0.2">
      <c r="A56" s="26" t="s">
        <v>117</v>
      </c>
      <c r="B56" s="25" t="s">
        <v>133</v>
      </c>
      <c r="C56" s="71">
        <v>10250</v>
      </c>
      <c r="D56" s="71">
        <v>10250</v>
      </c>
      <c r="E56" s="71">
        <v>10750</v>
      </c>
      <c r="F56" s="72">
        <f t="shared" si="1"/>
        <v>31250</v>
      </c>
    </row>
    <row r="57" spans="1:6" x14ac:dyDescent="0.2">
      <c r="A57" s="26" t="s">
        <v>117</v>
      </c>
      <c r="B57" s="25" t="s">
        <v>132</v>
      </c>
      <c r="C57" s="71">
        <v>14500</v>
      </c>
      <c r="D57" s="71">
        <v>13500</v>
      </c>
      <c r="E57" s="71">
        <v>15500</v>
      </c>
      <c r="F57" s="72">
        <f t="shared" si="1"/>
        <v>43500</v>
      </c>
    </row>
    <row r="58" spans="1:6" x14ac:dyDescent="0.2">
      <c r="A58" s="26" t="s">
        <v>117</v>
      </c>
      <c r="B58" s="25" t="s">
        <v>135</v>
      </c>
      <c r="C58" s="71">
        <v>72000</v>
      </c>
      <c r="D58" s="71">
        <v>70000</v>
      </c>
      <c r="E58" s="71">
        <v>70000</v>
      </c>
      <c r="F58" s="72">
        <f t="shared" si="1"/>
        <v>212000</v>
      </c>
    </row>
    <row r="59" spans="1:6" ht="13.5" thickBot="1" x14ac:dyDescent="0.25">
      <c r="A59" s="27" t="s">
        <v>117</v>
      </c>
      <c r="B59" s="28" t="s">
        <v>134</v>
      </c>
      <c r="C59" s="73">
        <v>25000</v>
      </c>
      <c r="D59" s="73">
        <v>24000</v>
      </c>
      <c r="E59" s="73">
        <v>26000</v>
      </c>
      <c r="F59" s="74">
        <f t="shared" si="1"/>
        <v>75000</v>
      </c>
    </row>
  </sheetData>
  <phoneticPr fontId="0" type="noConversion"/>
  <printOptions gridLinesSet="0"/>
  <pageMargins left="0.75" right="0.75" top="1" bottom="1" header="0.5" footer="0.5"/>
  <pageSetup orientation="portrait" horizontalDpi="300" verticalDpi="300" r:id="rId1"/>
  <headerFooter alignWithMargins="0">
    <oddHeader>&amp;A</oddHeader>
    <oddFooter>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FB599-3F22-45BD-9151-90CF9800D222}">
  <dimension ref="A1:G9"/>
  <sheetViews>
    <sheetView tabSelected="1" workbookViewId="0">
      <selection activeCell="K6" sqref="K6"/>
    </sheetView>
  </sheetViews>
  <sheetFormatPr defaultRowHeight="12.75" x14ac:dyDescent="0.2"/>
  <cols>
    <col min="1" max="1" width="13.85546875" bestFit="1" customWidth="1"/>
    <col min="2" max="2" width="17" bestFit="1" customWidth="1"/>
    <col min="3" max="3" width="4.42578125" bestFit="1" customWidth="1"/>
    <col min="4" max="4" width="7" bestFit="1" customWidth="1"/>
    <col min="5" max="5" width="6.85546875" bestFit="1" customWidth="1"/>
    <col min="6" max="6" width="7.7109375" bestFit="1" customWidth="1"/>
    <col min="7" max="7" width="11.7109375" bestFit="1" customWidth="1"/>
    <col min="8" max="8" width="13.140625" bestFit="1" customWidth="1"/>
    <col min="9" max="9" width="13.7109375" bestFit="1" customWidth="1"/>
    <col min="10" max="10" width="13.140625" bestFit="1" customWidth="1"/>
    <col min="11" max="11" width="13.7109375" bestFit="1" customWidth="1"/>
    <col min="12" max="12" width="18.42578125" bestFit="1" customWidth="1"/>
    <col min="13" max="13" width="19" bestFit="1" customWidth="1"/>
  </cols>
  <sheetData>
    <row r="1" spans="1:7" x14ac:dyDescent="0.2">
      <c r="A1" s="76" t="s">
        <v>73</v>
      </c>
      <c r="B1" t="s">
        <v>1513</v>
      </c>
    </row>
    <row r="3" spans="1:7" x14ac:dyDescent="0.2">
      <c r="A3" s="76" t="s">
        <v>1514</v>
      </c>
      <c r="B3" s="76" t="s">
        <v>1512</v>
      </c>
    </row>
    <row r="4" spans="1:7" x14ac:dyDescent="0.2">
      <c r="A4" s="76" t="s">
        <v>1508</v>
      </c>
      <c r="B4" t="s">
        <v>137</v>
      </c>
      <c r="C4" t="s">
        <v>293</v>
      </c>
      <c r="D4" t="s">
        <v>294</v>
      </c>
      <c r="E4" t="s">
        <v>139</v>
      </c>
      <c r="F4" t="s">
        <v>141</v>
      </c>
      <c r="G4" t="s">
        <v>1509</v>
      </c>
    </row>
    <row r="5" spans="1:7" x14ac:dyDescent="0.2">
      <c r="A5" s="77" t="s">
        <v>138</v>
      </c>
      <c r="B5" s="84">
        <v>18</v>
      </c>
      <c r="C5" s="84">
        <v>24</v>
      </c>
      <c r="D5" s="84">
        <v>24</v>
      </c>
      <c r="E5" s="84">
        <v>18</v>
      </c>
      <c r="F5" s="84">
        <v>12</v>
      </c>
      <c r="G5" s="84">
        <v>96</v>
      </c>
    </row>
    <row r="6" spans="1:7" x14ac:dyDescent="0.2">
      <c r="A6" s="77" t="s">
        <v>90</v>
      </c>
      <c r="B6" s="84">
        <v>42</v>
      </c>
      <c r="C6" s="84">
        <v>36</v>
      </c>
      <c r="D6" s="84">
        <v>36</v>
      </c>
      <c r="E6" s="84">
        <v>30</v>
      </c>
      <c r="F6" s="84">
        <v>30</v>
      </c>
      <c r="G6" s="84">
        <v>174</v>
      </c>
    </row>
    <row r="7" spans="1:7" x14ac:dyDescent="0.2">
      <c r="A7" s="77" t="s">
        <v>143</v>
      </c>
      <c r="B7" s="84">
        <v>18</v>
      </c>
      <c r="C7" s="84">
        <v>12</v>
      </c>
      <c r="D7" s="84">
        <v>12</v>
      </c>
      <c r="E7" s="84">
        <v>18</v>
      </c>
      <c r="F7" s="84">
        <v>12</v>
      </c>
      <c r="G7" s="84">
        <v>72</v>
      </c>
    </row>
    <row r="8" spans="1:7" x14ac:dyDescent="0.2">
      <c r="A8" s="77" t="s">
        <v>140</v>
      </c>
      <c r="B8" s="84">
        <v>12</v>
      </c>
      <c r="C8" s="84">
        <v>24</v>
      </c>
      <c r="D8" s="84">
        <v>30</v>
      </c>
      <c r="E8" s="84">
        <v>18</v>
      </c>
      <c r="F8" s="84">
        <v>18</v>
      </c>
      <c r="G8" s="84">
        <v>102</v>
      </c>
    </row>
    <row r="9" spans="1:7" x14ac:dyDescent="0.2">
      <c r="A9" s="77" t="s">
        <v>1509</v>
      </c>
      <c r="B9" s="84">
        <v>90</v>
      </c>
      <c r="C9" s="84">
        <v>96</v>
      </c>
      <c r="D9" s="84">
        <v>102</v>
      </c>
      <c r="E9" s="84">
        <v>84</v>
      </c>
      <c r="F9" s="84">
        <v>72</v>
      </c>
      <c r="G9" s="84">
        <v>444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H448"/>
  <sheetViews>
    <sheetView topLeftCell="A4" workbookViewId="0">
      <selection activeCell="C407" sqref="C407"/>
    </sheetView>
  </sheetViews>
  <sheetFormatPr defaultRowHeight="12.75" x14ac:dyDescent="0.2"/>
  <cols>
    <col min="1" max="1" width="9.140625" style="14"/>
    <col min="2" max="2" width="12.140625" style="14" customWidth="1"/>
    <col min="3" max="3" width="12.85546875" style="14" customWidth="1"/>
    <col min="4" max="4" width="15.7109375" style="14" customWidth="1"/>
    <col min="5" max="5" width="9.5703125" style="14" customWidth="1"/>
    <col min="6" max="6" width="11.140625" style="14" bestFit="1" customWidth="1"/>
    <col min="7" max="7" width="11.140625" style="14" customWidth="1"/>
    <col min="8" max="16384" width="9.140625" style="14"/>
  </cols>
  <sheetData>
    <row r="1" spans="1:8" ht="19.5" x14ac:dyDescent="0.35">
      <c r="A1" s="82" t="s">
        <v>295</v>
      </c>
      <c r="B1" s="82"/>
      <c r="C1" s="82"/>
      <c r="D1" s="82"/>
      <c r="E1" s="82"/>
      <c r="F1" s="82"/>
      <c r="G1" s="82"/>
      <c r="H1" s="82"/>
    </row>
    <row r="2" spans="1:8" ht="19.5" x14ac:dyDescent="0.35">
      <c r="A2" s="83" t="s">
        <v>744</v>
      </c>
      <c r="B2" s="83"/>
      <c r="C2" s="83"/>
      <c r="D2" s="83"/>
      <c r="E2" s="83"/>
      <c r="F2" s="83"/>
      <c r="G2" s="83"/>
      <c r="H2" s="83"/>
    </row>
    <row r="3" spans="1:8" ht="8.25" customHeight="1" x14ac:dyDescent="0.35">
      <c r="B3" s="29"/>
      <c r="C3" s="30"/>
      <c r="D3" s="29"/>
      <c r="E3" s="30"/>
      <c r="F3" s="30"/>
      <c r="G3" s="30"/>
    </row>
    <row r="4" spans="1:8" s="31" customFormat="1" ht="16.5" thickBot="1" x14ac:dyDescent="0.3">
      <c r="A4" s="46" t="s">
        <v>74</v>
      </c>
      <c r="B4" s="46" t="s">
        <v>73</v>
      </c>
      <c r="C4" s="46" t="s">
        <v>136</v>
      </c>
      <c r="D4" s="46" t="s">
        <v>35</v>
      </c>
      <c r="E4" s="46" t="s">
        <v>114</v>
      </c>
      <c r="F4" s="46" t="s">
        <v>39</v>
      </c>
      <c r="G4" s="46" t="s">
        <v>37</v>
      </c>
      <c r="H4" s="46" t="s">
        <v>296</v>
      </c>
    </row>
    <row r="5" spans="1:8" x14ac:dyDescent="0.2">
      <c r="A5" s="14">
        <v>2013</v>
      </c>
      <c r="B5" s="14" t="s">
        <v>84</v>
      </c>
      <c r="C5" s="14" t="s">
        <v>90</v>
      </c>
      <c r="D5" s="14" t="s">
        <v>137</v>
      </c>
      <c r="E5" s="14" t="s">
        <v>117</v>
      </c>
      <c r="F5" s="75">
        <f t="shared" ref="F5:F10" si="0">G5*1.5</f>
        <v>2395.5</v>
      </c>
      <c r="G5" s="14">
        <v>1597</v>
      </c>
      <c r="H5" s="35" t="s">
        <v>297</v>
      </c>
    </row>
    <row r="6" spans="1:8" x14ac:dyDescent="0.2">
      <c r="A6" s="14">
        <v>2013</v>
      </c>
      <c r="B6" s="14" t="s">
        <v>84</v>
      </c>
      <c r="C6" s="14" t="s">
        <v>90</v>
      </c>
      <c r="D6" s="14" t="s">
        <v>137</v>
      </c>
      <c r="E6" s="14" t="s">
        <v>117</v>
      </c>
      <c r="F6" s="75">
        <f t="shared" si="0"/>
        <v>11761.5</v>
      </c>
      <c r="G6" s="14">
        <v>7841</v>
      </c>
      <c r="H6" s="35" t="s">
        <v>298</v>
      </c>
    </row>
    <row r="7" spans="1:8" x14ac:dyDescent="0.2">
      <c r="A7" s="14">
        <v>2013</v>
      </c>
      <c r="B7" s="14" t="s">
        <v>84</v>
      </c>
      <c r="C7" s="14" t="s">
        <v>138</v>
      </c>
      <c r="D7" s="14" t="s">
        <v>137</v>
      </c>
      <c r="E7" s="14" t="s">
        <v>117</v>
      </c>
      <c r="F7" s="75">
        <f t="shared" si="0"/>
        <v>8943</v>
      </c>
      <c r="G7" s="14">
        <v>5962</v>
      </c>
      <c r="H7" s="35" t="s">
        <v>299</v>
      </c>
    </row>
    <row r="8" spans="1:8" x14ac:dyDescent="0.2">
      <c r="A8" s="14">
        <v>2013</v>
      </c>
      <c r="B8" s="14" t="s">
        <v>84</v>
      </c>
      <c r="C8" s="14" t="s">
        <v>90</v>
      </c>
      <c r="D8" s="14" t="s">
        <v>137</v>
      </c>
      <c r="E8" s="14" t="s">
        <v>117</v>
      </c>
      <c r="F8" s="75">
        <f t="shared" si="0"/>
        <v>2395.5</v>
      </c>
      <c r="G8" s="14">
        <v>1597</v>
      </c>
      <c r="H8" s="35" t="s">
        <v>300</v>
      </c>
    </row>
    <row r="9" spans="1:8" x14ac:dyDescent="0.2">
      <c r="A9" s="14">
        <v>2013</v>
      </c>
      <c r="B9" s="14" t="s">
        <v>84</v>
      </c>
      <c r="C9" s="14" t="s">
        <v>90</v>
      </c>
      <c r="D9" s="14" t="s">
        <v>137</v>
      </c>
      <c r="E9" s="14" t="s">
        <v>117</v>
      </c>
      <c r="F9" s="75">
        <f t="shared" si="0"/>
        <v>11761.5</v>
      </c>
      <c r="G9" s="14">
        <v>7841</v>
      </c>
      <c r="H9" s="35" t="s">
        <v>301</v>
      </c>
    </row>
    <row r="10" spans="1:8" x14ac:dyDescent="0.2">
      <c r="A10" s="14">
        <v>2013</v>
      </c>
      <c r="B10" s="14" t="s">
        <v>84</v>
      </c>
      <c r="C10" s="14" t="s">
        <v>138</v>
      </c>
      <c r="D10" s="14" t="s">
        <v>137</v>
      </c>
      <c r="E10" s="14" t="s">
        <v>117</v>
      </c>
      <c r="F10" s="75">
        <f t="shared" si="0"/>
        <v>8943</v>
      </c>
      <c r="G10" s="14">
        <v>5962</v>
      </c>
      <c r="H10" s="35" t="s">
        <v>302</v>
      </c>
    </row>
    <row r="11" spans="1:8" x14ac:dyDescent="0.2">
      <c r="A11" s="14">
        <v>2013</v>
      </c>
      <c r="B11" s="14" t="s">
        <v>84</v>
      </c>
      <c r="C11" s="14" t="s">
        <v>138</v>
      </c>
      <c r="D11" s="14" t="s">
        <v>293</v>
      </c>
      <c r="E11" s="14" t="s">
        <v>142</v>
      </c>
      <c r="F11" s="75">
        <v>14596.5</v>
      </c>
      <c r="G11" s="14">
        <v>9731</v>
      </c>
      <c r="H11" s="35" t="s">
        <v>303</v>
      </c>
    </row>
    <row r="12" spans="1:8" x14ac:dyDescent="0.2">
      <c r="A12" s="14">
        <v>2013</v>
      </c>
      <c r="B12" s="14" t="s">
        <v>84</v>
      </c>
      <c r="C12" s="14" t="s">
        <v>140</v>
      </c>
      <c r="D12" s="14" t="s">
        <v>293</v>
      </c>
      <c r="E12" s="14" t="s">
        <v>142</v>
      </c>
      <c r="F12" s="75">
        <v>8793</v>
      </c>
      <c r="G12" s="14">
        <v>5862</v>
      </c>
      <c r="H12" s="35" t="s">
        <v>304</v>
      </c>
    </row>
    <row r="13" spans="1:8" x14ac:dyDescent="0.2">
      <c r="A13" s="14">
        <v>2013</v>
      </c>
      <c r="B13" s="14" t="s">
        <v>84</v>
      </c>
      <c r="C13" s="14" t="s">
        <v>138</v>
      </c>
      <c r="D13" s="14" t="s">
        <v>293</v>
      </c>
      <c r="E13" s="14" t="s">
        <v>142</v>
      </c>
      <c r="F13" s="75">
        <v>14596.5</v>
      </c>
      <c r="G13" s="14">
        <v>9731</v>
      </c>
      <c r="H13" s="35" t="s">
        <v>305</v>
      </c>
    </row>
    <row r="14" spans="1:8" x14ac:dyDescent="0.2">
      <c r="A14" s="14">
        <v>2013</v>
      </c>
      <c r="B14" s="14" t="s">
        <v>84</v>
      </c>
      <c r="C14" s="14" t="s">
        <v>140</v>
      </c>
      <c r="D14" s="14" t="s">
        <v>293</v>
      </c>
      <c r="E14" s="14" t="s">
        <v>142</v>
      </c>
      <c r="F14" s="75">
        <v>8793</v>
      </c>
      <c r="G14" s="14">
        <v>5862</v>
      </c>
      <c r="H14" s="35" t="s">
        <v>306</v>
      </c>
    </row>
    <row r="15" spans="1:8" x14ac:dyDescent="0.2">
      <c r="A15" s="14">
        <v>2013</v>
      </c>
      <c r="B15" s="14" t="s">
        <v>84</v>
      </c>
      <c r="C15" s="14" t="s">
        <v>90</v>
      </c>
      <c r="D15" s="14" t="s">
        <v>294</v>
      </c>
      <c r="E15" s="14" t="s">
        <v>115</v>
      </c>
      <c r="F15" s="75">
        <v>4666</v>
      </c>
      <c r="G15" s="14">
        <v>5623</v>
      </c>
      <c r="H15" s="35" t="s">
        <v>307</v>
      </c>
    </row>
    <row r="16" spans="1:8" x14ac:dyDescent="0.2">
      <c r="A16" s="14">
        <v>2013</v>
      </c>
      <c r="B16" s="14" t="s">
        <v>84</v>
      </c>
      <c r="C16" s="14" t="s">
        <v>90</v>
      </c>
      <c r="D16" s="14" t="s">
        <v>294</v>
      </c>
      <c r="E16" s="14" t="s">
        <v>115</v>
      </c>
      <c r="F16" s="75">
        <f>G16*1.5</f>
        <v>7318.5</v>
      </c>
      <c r="G16" s="14">
        <v>4879</v>
      </c>
      <c r="H16" s="35" t="s">
        <v>308</v>
      </c>
    </row>
    <row r="17" spans="1:8" x14ac:dyDescent="0.2">
      <c r="A17" s="14">
        <v>2013</v>
      </c>
      <c r="B17" s="14" t="s">
        <v>84</v>
      </c>
      <c r="C17" s="14" t="s">
        <v>90</v>
      </c>
      <c r="D17" s="14" t="s">
        <v>294</v>
      </c>
      <c r="E17" s="14" t="s">
        <v>115</v>
      </c>
      <c r="F17" s="75">
        <v>4666</v>
      </c>
      <c r="G17" s="14">
        <v>5623</v>
      </c>
      <c r="H17" s="35" t="s">
        <v>309</v>
      </c>
    </row>
    <row r="18" spans="1:8" x14ac:dyDescent="0.2">
      <c r="A18" s="14">
        <v>2013</v>
      </c>
      <c r="B18" s="14" t="s">
        <v>84</v>
      </c>
      <c r="C18" s="14" t="s">
        <v>90</v>
      </c>
      <c r="D18" s="14" t="s">
        <v>294</v>
      </c>
      <c r="E18" s="14" t="s">
        <v>115</v>
      </c>
      <c r="F18" s="75">
        <f t="shared" ref="F18:F26" si="1">G18*1.5</f>
        <v>7318.5</v>
      </c>
      <c r="G18" s="14">
        <v>4879</v>
      </c>
      <c r="H18" s="35" t="s">
        <v>310</v>
      </c>
    </row>
    <row r="19" spans="1:8" x14ac:dyDescent="0.2">
      <c r="A19" s="14">
        <v>2013</v>
      </c>
      <c r="B19" s="14" t="s">
        <v>84</v>
      </c>
      <c r="C19" s="14" t="s">
        <v>143</v>
      </c>
      <c r="D19" s="14" t="s">
        <v>139</v>
      </c>
      <c r="E19" s="14" t="s">
        <v>118</v>
      </c>
      <c r="F19" s="75">
        <f t="shared" si="1"/>
        <v>3553.5</v>
      </c>
      <c r="G19" s="14">
        <v>2369</v>
      </c>
      <c r="H19" s="35" t="s">
        <v>311</v>
      </c>
    </row>
    <row r="20" spans="1:8" x14ac:dyDescent="0.2">
      <c r="A20" s="14">
        <v>2013</v>
      </c>
      <c r="B20" s="14" t="s">
        <v>84</v>
      </c>
      <c r="C20" s="14" t="s">
        <v>143</v>
      </c>
      <c r="D20" s="14" t="s">
        <v>139</v>
      </c>
      <c r="E20" s="14" t="s">
        <v>118</v>
      </c>
      <c r="F20" s="75">
        <f t="shared" si="1"/>
        <v>3553.5</v>
      </c>
      <c r="G20" s="14">
        <v>2369</v>
      </c>
      <c r="H20" s="35" t="s">
        <v>312</v>
      </c>
    </row>
    <row r="21" spans="1:8" x14ac:dyDescent="0.2">
      <c r="A21" s="14">
        <v>2013</v>
      </c>
      <c r="B21" s="14" t="s">
        <v>84</v>
      </c>
      <c r="C21" s="14" t="s">
        <v>138</v>
      </c>
      <c r="D21" s="14" t="s">
        <v>141</v>
      </c>
      <c r="E21" s="14" t="s">
        <v>142</v>
      </c>
      <c r="F21" s="75">
        <f t="shared" si="1"/>
        <v>14596.5</v>
      </c>
      <c r="G21" s="14">
        <v>9731</v>
      </c>
      <c r="H21" s="35" t="s">
        <v>313</v>
      </c>
    </row>
    <row r="22" spans="1:8" x14ac:dyDescent="0.2">
      <c r="A22" s="14">
        <v>2013</v>
      </c>
      <c r="B22" s="14" t="s">
        <v>84</v>
      </c>
      <c r="C22" s="14" t="s">
        <v>140</v>
      </c>
      <c r="D22" s="14" t="s">
        <v>141</v>
      </c>
      <c r="E22" s="14" t="s">
        <v>142</v>
      </c>
      <c r="F22" s="75">
        <f t="shared" si="1"/>
        <v>8793</v>
      </c>
      <c r="G22" s="14">
        <v>5862</v>
      </c>
      <c r="H22" s="35" t="s">
        <v>314</v>
      </c>
    </row>
    <row r="23" spans="1:8" x14ac:dyDescent="0.2">
      <c r="A23" s="14">
        <v>2013</v>
      </c>
      <c r="B23" s="14" t="s">
        <v>84</v>
      </c>
      <c r="C23" s="14" t="s">
        <v>138</v>
      </c>
      <c r="D23" s="14" t="s">
        <v>141</v>
      </c>
      <c r="E23" s="14" t="s">
        <v>142</v>
      </c>
      <c r="F23" s="75">
        <f t="shared" si="1"/>
        <v>14596.5</v>
      </c>
      <c r="G23" s="14">
        <v>9731</v>
      </c>
      <c r="H23" s="35" t="s">
        <v>315</v>
      </c>
    </row>
    <row r="24" spans="1:8" x14ac:dyDescent="0.2">
      <c r="A24" s="14">
        <v>2013</v>
      </c>
      <c r="B24" s="14" t="s">
        <v>84</v>
      </c>
      <c r="C24" s="14" t="s">
        <v>140</v>
      </c>
      <c r="D24" s="14" t="s">
        <v>141</v>
      </c>
      <c r="E24" s="14" t="s">
        <v>142</v>
      </c>
      <c r="F24" s="75">
        <f t="shared" si="1"/>
        <v>8793</v>
      </c>
      <c r="G24" s="14">
        <v>5862</v>
      </c>
      <c r="H24" s="35" t="s">
        <v>316</v>
      </c>
    </row>
    <row r="25" spans="1:8" x14ac:dyDescent="0.2">
      <c r="A25" s="14">
        <v>2013</v>
      </c>
      <c r="B25" s="14" t="s">
        <v>83</v>
      </c>
      <c r="C25" s="14" t="s">
        <v>90</v>
      </c>
      <c r="D25" s="14" t="s">
        <v>137</v>
      </c>
      <c r="E25" s="14" t="s">
        <v>117</v>
      </c>
      <c r="F25" s="75">
        <f t="shared" si="1"/>
        <v>4887</v>
      </c>
      <c r="G25" s="14">
        <v>3258</v>
      </c>
      <c r="H25" s="35" t="s">
        <v>317</v>
      </c>
    </row>
    <row r="26" spans="1:8" x14ac:dyDescent="0.2">
      <c r="A26" s="14">
        <v>2013</v>
      </c>
      <c r="B26" s="14" t="s">
        <v>83</v>
      </c>
      <c r="C26" s="14" t="s">
        <v>90</v>
      </c>
      <c r="D26" s="14" t="s">
        <v>137</v>
      </c>
      <c r="E26" s="14" t="s">
        <v>117</v>
      </c>
      <c r="F26" s="75">
        <f t="shared" si="1"/>
        <v>4887</v>
      </c>
      <c r="G26" s="14">
        <v>3258</v>
      </c>
      <c r="H26" s="35" t="s">
        <v>318</v>
      </c>
    </row>
    <row r="27" spans="1:8" x14ac:dyDescent="0.2">
      <c r="A27" s="14">
        <v>2013</v>
      </c>
      <c r="B27" s="14" t="s">
        <v>83</v>
      </c>
      <c r="C27" s="14" t="s">
        <v>140</v>
      </c>
      <c r="D27" s="14" t="s">
        <v>293</v>
      </c>
      <c r="E27" s="14" t="s">
        <v>142</v>
      </c>
      <c r="F27" s="75">
        <v>11122.5</v>
      </c>
      <c r="G27" s="14">
        <v>7415</v>
      </c>
      <c r="H27" s="35" t="s">
        <v>319</v>
      </c>
    </row>
    <row r="28" spans="1:8" x14ac:dyDescent="0.2">
      <c r="A28" s="14">
        <v>2013</v>
      </c>
      <c r="B28" s="14" t="s">
        <v>83</v>
      </c>
      <c r="C28" s="14" t="s">
        <v>90</v>
      </c>
      <c r="D28" s="14" t="s">
        <v>293</v>
      </c>
      <c r="E28" s="14" t="s">
        <v>142</v>
      </c>
      <c r="F28" s="75">
        <v>13428</v>
      </c>
      <c r="G28" s="14">
        <v>8952</v>
      </c>
      <c r="H28" s="35" t="s">
        <v>320</v>
      </c>
    </row>
    <row r="29" spans="1:8" x14ac:dyDescent="0.2">
      <c r="A29" s="14">
        <v>2013</v>
      </c>
      <c r="B29" s="14" t="s">
        <v>83</v>
      </c>
      <c r="C29" s="14" t="s">
        <v>140</v>
      </c>
      <c r="D29" s="14" t="s">
        <v>293</v>
      </c>
      <c r="E29" s="14" t="s">
        <v>142</v>
      </c>
      <c r="F29" s="75">
        <v>11122.5</v>
      </c>
      <c r="G29" s="14">
        <v>7415</v>
      </c>
      <c r="H29" s="35" t="s">
        <v>321</v>
      </c>
    </row>
    <row r="30" spans="1:8" x14ac:dyDescent="0.2">
      <c r="A30" s="14">
        <v>2013</v>
      </c>
      <c r="B30" s="14" t="s">
        <v>83</v>
      </c>
      <c r="C30" s="14" t="s">
        <v>90</v>
      </c>
      <c r="D30" s="14" t="s">
        <v>293</v>
      </c>
      <c r="E30" s="14" t="s">
        <v>142</v>
      </c>
      <c r="F30" s="75">
        <v>13428</v>
      </c>
      <c r="G30" s="14">
        <v>8952</v>
      </c>
      <c r="H30" s="35" t="s">
        <v>322</v>
      </c>
    </row>
    <row r="31" spans="1:8" x14ac:dyDescent="0.2">
      <c r="A31" s="14">
        <v>2013</v>
      </c>
      <c r="B31" s="14" t="s">
        <v>83</v>
      </c>
      <c r="C31" s="14" t="s">
        <v>138</v>
      </c>
      <c r="D31" s="14" t="s">
        <v>294</v>
      </c>
      <c r="E31" s="14" t="s">
        <v>115</v>
      </c>
      <c r="F31" s="75">
        <v>3897</v>
      </c>
      <c r="G31" s="14">
        <v>2598</v>
      </c>
      <c r="H31" s="35" t="s">
        <v>323</v>
      </c>
    </row>
    <row r="32" spans="1:8" x14ac:dyDescent="0.2">
      <c r="A32" s="14">
        <v>2013</v>
      </c>
      <c r="B32" s="14" t="s">
        <v>83</v>
      </c>
      <c r="C32" s="14" t="s">
        <v>138</v>
      </c>
      <c r="D32" s="14" t="s">
        <v>294</v>
      </c>
      <c r="E32" s="14" t="s">
        <v>115</v>
      </c>
      <c r="F32" s="75">
        <v>8832</v>
      </c>
      <c r="G32" s="14">
        <v>5888</v>
      </c>
      <c r="H32" s="35" t="s">
        <v>324</v>
      </c>
    </row>
    <row r="33" spans="1:8" x14ac:dyDescent="0.2">
      <c r="A33" s="14">
        <v>2013</v>
      </c>
      <c r="B33" s="14" t="s">
        <v>83</v>
      </c>
      <c r="C33" s="14" t="s">
        <v>138</v>
      </c>
      <c r="D33" s="14" t="s">
        <v>294</v>
      </c>
      <c r="E33" s="14" t="s">
        <v>115</v>
      </c>
      <c r="F33" s="75">
        <v>3897</v>
      </c>
      <c r="G33" s="14">
        <v>2598</v>
      </c>
      <c r="H33" s="35" t="s">
        <v>325</v>
      </c>
    </row>
    <row r="34" spans="1:8" x14ac:dyDescent="0.2">
      <c r="A34" s="14">
        <v>2013</v>
      </c>
      <c r="B34" s="14" t="s">
        <v>83</v>
      </c>
      <c r="C34" s="14" t="s">
        <v>138</v>
      </c>
      <c r="D34" s="14" t="s">
        <v>294</v>
      </c>
      <c r="E34" s="14" t="s">
        <v>115</v>
      </c>
      <c r="F34" s="75">
        <v>8832</v>
      </c>
      <c r="G34" s="14">
        <v>5888</v>
      </c>
      <c r="H34" s="35" t="s">
        <v>326</v>
      </c>
    </row>
    <row r="35" spans="1:8" x14ac:dyDescent="0.2">
      <c r="A35" s="14">
        <v>2013</v>
      </c>
      <c r="B35" s="14" t="s">
        <v>83</v>
      </c>
      <c r="C35" s="14" t="s">
        <v>140</v>
      </c>
      <c r="D35" s="14" t="s">
        <v>139</v>
      </c>
      <c r="E35" s="14" t="s">
        <v>118</v>
      </c>
      <c r="F35" s="75">
        <f t="shared" ref="F35:F46" si="2">G35*1.5</f>
        <v>11122.5</v>
      </c>
      <c r="G35" s="14">
        <v>7415</v>
      </c>
      <c r="H35" s="35" t="s">
        <v>327</v>
      </c>
    </row>
    <row r="36" spans="1:8" x14ac:dyDescent="0.2">
      <c r="A36" s="14">
        <v>2013</v>
      </c>
      <c r="B36" s="14" t="s">
        <v>83</v>
      </c>
      <c r="C36" s="14" t="s">
        <v>138</v>
      </c>
      <c r="D36" s="14" t="s">
        <v>139</v>
      </c>
      <c r="E36" s="14" t="s">
        <v>118</v>
      </c>
      <c r="F36" s="75">
        <f t="shared" si="2"/>
        <v>14647.5</v>
      </c>
      <c r="G36" s="14">
        <v>9765</v>
      </c>
      <c r="H36" s="35" t="s">
        <v>328</v>
      </c>
    </row>
    <row r="37" spans="1:8" x14ac:dyDescent="0.2">
      <c r="A37" s="14">
        <v>2013</v>
      </c>
      <c r="B37" s="14" t="s">
        <v>83</v>
      </c>
      <c r="C37" s="14" t="s">
        <v>140</v>
      </c>
      <c r="D37" s="14" t="s">
        <v>139</v>
      </c>
      <c r="E37" s="14" t="s">
        <v>118</v>
      </c>
      <c r="F37" s="75">
        <f t="shared" si="2"/>
        <v>11122.5</v>
      </c>
      <c r="G37" s="14">
        <v>7415</v>
      </c>
      <c r="H37" s="35" t="s">
        <v>329</v>
      </c>
    </row>
    <row r="38" spans="1:8" x14ac:dyDescent="0.2">
      <c r="A38" s="14">
        <v>2013</v>
      </c>
      <c r="B38" s="14" t="s">
        <v>83</v>
      </c>
      <c r="C38" s="14" t="s">
        <v>138</v>
      </c>
      <c r="D38" s="14" t="s">
        <v>139</v>
      </c>
      <c r="E38" s="14" t="s">
        <v>118</v>
      </c>
      <c r="F38" s="75">
        <f t="shared" si="2"/>
        <v>14647.5</v>
      </c>
      <c r="G38" s="14">
        <v>9765</v>
      </c>
      <c r="H38" s="35" t="s">
        <v>330</v>
      </c>
    </row>
    <row r="39" spans="1:8" x14ac:dyDescent="0.2">
      <c r="A39" s="14">
        <v>2013</v>
      </c>
      <c r="B39" s="14" t="s">
        <v>83</v>
      </c>
      <c r="C39" s="14" t="s">
        <v>90</v>
      </c>
      <c r="D39" s="14" t="s">
        <v>141</v>
      </c>
      <c r="E39" s="14" t="s">
        <v>142</v>
      </c>
      <c r="F39" s="75">
        <f t="shared" si="2"/>
        <v>13428</v>
      </c>
      <c r="G39" s="14">
        <v>8952</v>
      </c>
      <c r="H39" s="35" t="s">
        <v>331</v>
      </c>
    </row>
    <row r="40" spans="1:8" x14ac:dyDescent="0.2">
      <c r="A40" s="14">
        <v>2013</v>
      </c>
      <c r="B40" s="14" t="s">
        <v>83</v>
      </c>
      <c r="C40" s="14" t="s">
        <v>143</v>
      </c>
      <c r="D40" s="14" t="s">
        <v>141</v>
      </c>
      <c r="E40" s="14" t="s">
        <v>142</v>
      </c>
      <c r="F40" s="75">
        <f t="shared" si="2"/>
        <v>7480.5</v>
      </c>
      <c r="G40" s="14">
        <v>4987</v>
      </c>
      <c r="H40" s="35" t="s">
        <v>332</v>
      </c>
    </row>
    <row r="41" spans="1:8" x14ac:dyDescent="0.2">
      <c r="A41" s="14">
        <v>2013</v>
      </c>
      <c r="B41" s="14" t="s">
        <v>83</v>
      </c>
      <c r="C41" s="14" t="s">
        <v>90</v>
      </c>
      <c r="D41" s="14" t="s">
        <v>141</v>
      </c>
      <c r="E41" s="14" t="s">
        <v>142</v>
      </c>
      <c r="F41" s="75">
        <f t="shared" si="2"/>
        <v>13428</v>
      </c>
      <c r="G41" s="14">
        <v>8952</v>
      </c>
      <c r="H41" s="35" t="s">
        <v>333</v>
      </c>
    </row>
    <row r="42" spans="1:8" x14ac:dyDescent="0.2">
      <c r="A42" s="14">
        <v>2013</v>
      </c>
      <c r="B42" s="14" t="s">
        <v>83</v>
      </c>
      <c r="C42" s="14" t="s">
        <v>143</v>
      </c>
      <c r="D42" s="14" t="s">
        <v>141</v>
      </c>
      <c r="E42" s="14" t="s">
        <v>142</v>
      </c>
      <c r="F42" s="75">
        <f t="shared" si="2"/>
        <v>7480.5</v>
      </c>
      <c r="G42" s="14">
        <v>4987</v>
      </c>
      <c r="H42" s="35" t="s">
        <v>334</v>
      </c>
    </row>
    <row r="43" spans="1:8" x14ac:dyDescent="0.2">
      <c r="A43" s="14">
        <v>2013</v>
      </c>
      <c r="B43" s="14" t="s">
        <v>87</v>
      </c>
      <c r="C43" s="14" t="s">
        <v>140</v>
      </c>
      <c r="D43" s="14" t="s">
        <v>137</v>
      </c>
      <c r="E43" s="14" t="s">
        <v>117</v>
      </c>
      <c r="F43" s="75">
        <f t="shared" si="2"/>
        <v>14619</v>
      </c>
      <c r="G43" s="14">
        <v>9746</v>
      </c>
      <c r="H43" s="35" t="s">
        <v>335</v>
      </c>
    </row>
    <row r="44" spans="1:8" x14ac:dyDescent="0.2">
      <c r="A44" s="14">
        <v>2013</v>
      </c>
      <c r="B44" s="14" t="s">
        <v>87</v>
      </c>
      <c r="C44" s="14" t="s">
        <v>90</v>
      </c>
      <c r="D44" s="14" t="s">
        <v>137</v>
      </c>
      <c r="E44" s="14" t="s">
        <v>117</v>
      </c>
      <c r="F44" s="75">
        <f t="shared" si="2"/>
        <v>867</v>
      </c>
      <c r="G44" s="14">
        <v>578</v>
      </c>
      <c r="H44" s="35" t="s">
        <v>336</v>
      </c>
    </row>
    <row r="45" spans="1:8" x14ac:dyDescent="0.2">
      <c r="A45" s="14">
        <v>2013</v>
      </c>
      <c r="B45" s="14" t="s">
        <v>87</v>
      </c>
      <c r="C45" s="14" t="s">
        <v>140</v>
      </c>
      <c r="D45" s="14" t="s">
        <v>137</v>
      </c>
      <c r="E45" s="14" t="s">
        <v>117</v>
      </c>
      <c r="F45" s="75">
        <f t="shared" si="2"/>
        <v>14619</v>
      </c>
      <c r="G45" s="14">
        <v>9746</v>
      </c>
      <c r="H45" s="35" t="s">
        <v>337</v>
      </c>
    </row>
    <row r="46" spans="1:8" x14ac:dyDescent="0.2">
      <c r="A46" s="14">
        <v>2013</v>
      </c>
      <c r="B46" s="14" t="s">
        <v>87</v>
      </c>
      <c r="C46" s="14" t="s">
        <v>90</v>
      </c>
      <c r="D46" s="14" t="s">
        <v>137</v>
      </c>
      <c r="E46" s="14" t="s">
        <v>117</v>
      </c>
      <c r="F46" s="75">
        <f t="shared" si="2"/>
        <v>867</v>
      </c>
      <c r="G46" s="14">
        <v>578</v>
      </c>
      <c r="H46" s="35" t="s">
        <v>338</v>
      </c>
    </row>
    <row r="47" spans="1:8" x14ac:dyDescent="0.2">
      <c r="A47" s="14">
        <v>2013</v>
      </c>
      <c r="B47" s="14" t="s">
        <v>87</v>
      </c>
      <c r="C47" s="14" t="s">
        <v>140</v>
      </c>
      <c r="D47" s="14" t="s">
        <v>293</v>
      </c>
      <c r="E47" s="14" t="s">
        <v>142</v>
      </c>
      <c r="F47" s="75">
        <v>14619</v>
      </c>
      <c r="G47" s="14">
        <v>9746</v>
      </c>
      <c r="H47" s="35" t="s">
        <v>339</v>
      </c>
    </row>
    <row r="48" spans="1:8" x14ac:dyDescent="0.2">
      <c r="A48" s="14">
        <v>2013</v>
      </c>
      <c r="B48" s="14" t="s">
        <v>87</v>
      </c>
      <c r="C48" s="14" t="s">
        <v>90</v>
      </c>
      <c r="D48" s="14" t="s">
        <v>293</v>
      </c>
      <c r="E48" s="14" t="s">
        <v>142</v>
      </c>
      <c r="F48" s="75">
        <v>5380.5</v>
      </c>
      <c r="G48" s="14">
        <v>3587</v>
      </c>
      <c r="H48" s="35" t="s">
        <v>340</v>
      </c>
    </row>
    <row r="49" spans="1:8" x14ac:dyDescent="0.2">
      <c r="A49" s="14">
        <v>2013</v>
      </c>
      <c r="B49" s="14" t="s">
        <v>87</v>
      </c>
      <c r="C49" s="14" t="s">
        <v>140</v>
      </c>
      <c r="D49" s="14" t="s">
        <v>293</v>
      </c>
      <c r="E49" s="14" t="s">
        <v>142</v>
      </c>
      <c r="F49" s="75">
        <v>14619</v>
      </c>
      <c r="G49" s="14">
        <v>9746</v>
      </c>
      <c r="H49" s="35" t="s">
        <v>341</v>
      </c>
    </row>
    <row r="50" spans="1:8" x14ac:dyDescent="0.2">
      <c r="A50" s="14">
        <v>2013</v>
      </c>
      <c r="B50" s="14" t="s">
        <v>87</v>
      </c>
      <c r="C50" s="14" t="s">
        <v>90</v>
      </c>
      <c r="D50" s="14" t="s">
        <v>293</v>
      </c>
      <c r="E50" s="14" t="s">
        <v>142</v>
      </c>
      <c r="F50" s="75">
        <v>5380.5</v>
      </c>
      <c r="G50" s="14">
        <v>3587</v>
      </c>
      <c r="H50" s="35" t="s">
        <v>342</v>
      </c>
    </row>
    <row r="51" spans="1:8" x14ac:dyDescent="0.2">
      <c r="A51" s="14">
        <v>2013</v>
      </c>
      <c r="B51" s="14" t="s">
        <v>87</v>
      </c>
      <c r="C51" s="14" t="s">
        <v>140</v>
      </c>
      <c r="D51" s="14" t="s">
        <v>294</v>
      </c>
      <c r="E51" s="14" t="s">
        <v>115</v>
      </c>
      <c r="F51" s="75">
        <v>3547.5</v>
      </c>
      <c r="G51" s="14">
        <v>2365</v>
      </c>
      <c r="H51" s="35" t="s">
        <v>343</v>
      </c>
    </row>
    <row r="52" spans="1:8" x14ac:dyDescent="0.2">
      <c r="A52" s="14">
        <v>2013</v>
      </c>
      <c r="B52" s="14" t="s">
        <v>87</v>
      </c>
      <c r="C52" s="14" t="s">
        <v>138</v>
      </c>
      <c r="D52" s="14" t="s">
        <v>294</v>
      </c>
      <c r="E52" s="14" t="s">
        <v>115</v>
      </c>
      <c r="F52" s="75">
        <v>14596.5</v>
      </c>
      <c r="G52" s="14">
        <v>9731</v>
      </c>
      <c r="H52" s="35" t="s">
        <v>344</v>
      </c>
    </row>
    <row r="53" spans="1:8" x14ac:dyDescent="0.2">
      <c r="A53" s="14">
        <v>2013</v>
      </c>
      <c r="B53" s="14" t="s">
        <v>87</v>
      </c>
      <c r="C53" s="14" t="s">
        <v>140</v>
      </c>
      <c r="D53" s="14" t="s">
        <v>294</v>
      </c>
      <c r="E53" s="14" t="s">
        <v>115</v>
      </c>
      <c r="F53" s="75">
        <v>3547.5</v>
      </c>
      <c r="G53" s="14">
        <v>2365</v>
      </c>
      <c r="H53" s="35" t="s">
        <v>345</v>
      </c>
    </row>
    <row r="54" spans="1:8" x14ac:dyDescent="0.2">
      <c r="A54" s="14">
        <v>2013</v>
      </c>
      <c r="B54" s="14" t="s">
        <v>87</v>
      </c>
      <c r="C54" s="14" t="s">
        <v>138</v>
      </c>
      <c r="D54" s="14" t="s">
        <v>294</v>
      </c>
      <c r="E54" s="14" t="s">
        <v>115</v>
      </c>
      <c r="F54" s="75">
        <v>14596.5</v>
      </c>
      <c r="G54" s="14">
        <v>9731</v>
      </c>
      <c r="H54" s="35" t="s">
        <v>346</v>
      </c>
    </row>
    <row r="55" spans="1:8" x14ac:dyDescent="0.2">
      <c r="A55" s="14">
        <v>2013</v>
      </c>
      <c r="B55" s="14" t="s">
        <v>87</v>
      </c>
      <c r="C55" s="14" t="s">
        <v>138</v>
      </c>
      <c r="D55" s="14" t="s">
        <v>139</v>
      </c>
      <c r="E55" s="14" t="s">
        <v>118</v>
      </c>
      <c r="F55" s="75">
        <f t="shared" ref="F55:F66" si="3">G55*1.5</f>
        <v>1498.5</v>
      </c>
      <c r="G55" s="14">
        <v>999</v>
      </c>
      <c r="H55" s="35" t="s">
        <v>347</v>
      </c>
    </row>
    <row r="56" spans="1:8" x14ac:dyDescent="0.2">
      <c r="A56" s="14">
        <v>2013</v>
      </c>
      <c r="B56" s="14" t="s">
        <v>87</v>
      </c>
      <c r="C56" s="14" t="s">
        <v>140</v>
      </c>
      <c r="D56" s="14" t="s">
        <v>139</v>
      </c>
      <c r="E56" s="14" t="s">
        <v>118</v>
      </c>
      <c r="F56" s="75">
        <f t="shared" si="3"/>
        <v>235.5</v>
      </c>
      <c r="G56" s="14">
        <v>157</v>
      </c>
      <c r="H56" s="35" t="s">
        <v>348</v>
      </c>
    </row>
    <row r="57" spans="1:8" x14ac:dyDescent="0.2">
      <c r="A57" s="14">
        <v>2013</v>
      </c>
      <c r="B57" s="14" t="s">
        <v>87</v>
      </c>
      <c r="C57" s="14" t="s">
        <v>138</v>
      </c>
      <c r="D57" s="14" t="s">
        <v>139</v>
      </c>
      <c r="E57" s="14" t="s">
        <v>118</v>
      </c>
      <c r="F57" s="75">
        <f t="shared" si="3"/>
        <v>1498.5</v>
      </c>
      <c r="G57" s="14">
        <v>999</v>
      </c>
      <c r="H57" s="35" t="s">
        <v>349</v>
      </c>
    </row>
    <row r="58" spans="1:8" x14ac:dyDescent="0.2">
      <c r="A58" s="14">
        <v>2013</v>
      </c>
      <c r="B58" s="14" t="s">
        <v>87</v>
      </c>
      <c r="C58" s="14" t="s">
        <v>140</v>
      </c>
      <c r="D58" s="14" t="s">
        <v>139</v>
      </c>
      <c r="E58" s="14" t="s">
        <v>118</v>
      </c>
      <c r="F58" s="75">
        <f t="shared" si="3"/>
        <v>235.5</v>
      </c>
      <c r="G58" s="14">
        <v>157</v>
      </c>
      <c r="H58" s="35" t="s">
        <v>350</v>
      </c>
    </row>
    <row r="59" spans="1:8" x14ac:dyDescent="0.2">
      <c r="A59" s="14">
        <v>2013</v>
      </c>
      <c r="B59" s="14" t="s">
        <v>87</v>
      </c>
      <c r="C59" s="14" t="s">
        <v>90</v>
      </c>
      <c r="D59" s="14" t="s">
        <v>141</v>
      </c>
      <c r="E59" s="14" t="s">
        <v>142</v>
      </c>
      <c r="F59" s="75">
        <f t="shared" si="3"/>
        <v>5380.5</v>
      </c>
      <c r="G59" s="14">
        <v>3587</v>
      </c>
      <c r="H59" s="35" t="s">
        <v>351</v>
      </c>
    </row>
    <row r="60" spans="1:8" x14ac:dyDescent="0.2">
      <c r="A60" s="14">
        <v>2013</v>
      </c>
      <c r="B60" s="14" t="s">
        <v>87</v>
      </c>
      <c r="C60" s="14" t="s">
        <v>143</v>
      </c>
      <c r="D60" s="14" t="s">
        <v>141</v>
      </c>
      <c r="E60" s="14" t="s">
        <v>142</v>
      </c>
      <c r="F60" s="75">
        <f t="shared" si="3"/>
        <v>14446.5</v>
      </c>
      <c r="G60" s="14">
        <v>9631</v>
      </c>
      <c r="H60" s="35" t="s">
        <v>352</v>
      </c>
    </row>
    <row r="61" spans="1:8" x14ac:dyDescent="0.2">
      <c r="A61" s="14">
        <v>2013</v>
      </c>
      <c r="B61" s="14" t="s">
        <v>87</v>
      </c>
      <c r="C61" s="14" t="s">
        <v>90</v>
      </c>
      <c r="D61" s="14" t="s">
        <v>141</v>
      </c>
      <c r="E61" s="14" t="s">
        <v>142</v>
      </c>
      <c r="F61" s="75">
        <f t="shared" si="3"/>
        <v>5380.5</v>
      </c>
      <c r="G61" s="14">
        <v>3587</v>
      </c>
      <c r="H61" s="35" t="s">
        <v>353</v>
      </c>
    </row>
    <row r="62" spans="1:8" x14ac:dyDescent="0.2">
      <c r="A62" s="14">
        <v>2013</v>
      </c>
      <c r="B62" s="14" t="s">
        <v>87</v>
      </c>
      <c r="C62" s="14" t="s">
        <v>143</v>
      </c>
      <c r="D62" s="14" t="s">
        <v>141</v>
      </c>
      <c r="E62" s="14" t="s">
        <v>142</v>
      </c>
      <c r="F62" s="75">
        <f t="shared" si="3"/>
        <v>14446.5</v>
      </c>
      <c r="G62" s="14">
        <v>9631</v>
      </c>
      <c r="H62" s="35" t="s">
        <v>354</v>
      </c>
    </row>
    <row r="63" spans="1:8" x14ac:dyDescent="0.2">
      <c r="A63" s="14">
        <v>2013</v>
      </c>
      <c r="B63" s="14" t="s">
        <v>78</v>
      </c>
      <c r="C63" s="14" t="s">
        <v>143</v>
      </c>
      <c r="D63" s="14" t="s">
        <v>137</v>
      </c>
      <c r="E63" s="14" t="s">
        <v>117</v>
      </c>
      <c r="F63" s="75">
        <f t="shared" si="3"/>
        <v>2367</v>
      </c>
      <c r="G63" s="14">
        <v>1578</v>
      </c>
      <c r="H63" s="35" t="s">
        <v>355</v>
      </c>
    </row>
    <row r="64" spans="1:8" x14ac:dyDescent="0.2">
      <c r="A64" s="14">
        <v>2013</v>
      </c>
      <c r="B64" s="14" t="s">
        <v>78</v>
      </c>
      <c r="C64" s="14" t="s">
        <v>140</v>
      </c>
      <c r="D64" s="14" t="s">
        <v>137</v>
      </c>
      <c r="E64" s="14" t="s">
        <v>117</v>
      </c>
      <c r="F64" s="75">
        <f t="shared" si="3"/>
        <v>6880.5</v>
      </c>
      <c r="G64" s="14">
        <v>4587</v>
      </c>
      <c r="H64" s="35" t="s">
        <v>356</v>
      </c>
    </row>
    <row r="65" spans="1:8" x14ac:dyDescent="0.2">
      <c r="A65" s="14">
        <v>2013</v>
      </c>
      <c r="B65" s="14" t="s">
        <v>78</v>
      </c>
      <c r="C65" s="14" t="s">
        <v>143</v>
      </c>
      <c r="D65" s="14" t="s">
        <v>137</v>
      </c>
      <c r="E65" s="14" t="s">
        <v>117</v>
      </c>
      <c r="F65" s="75">
        <f t="shared" si="3"/>
        <v>2367</v>
      </c>
      <c r="G65" s="14">
        <v>1578</v>
      </c>
      <c r="H65" s="35" t="s">
        <v>357</v>
      </c>
    </row>
    <row r="66" spans="1:8" x14ac:dyDescent="0.2">
      <c r="A66" s="14">
        <v>2013</v>
      </c>
      <c r="B66" s="14" t="s">
        <v>78</v>
      </c>
      <c r="C66" s="14" t="s">
        <v>140</v>
      </c>
      <c r="D66" s="14" t="s">
        <v>137</v>
      </c>
      <c r="E66" s="14" t="s">
        <v>117</v>
      </c>
      <c r="F66" s="75">
        <f t="shared" si="3"/>
        <v>6880.5</v>
      </c>
      <c r="G66" s="14">
        <v>4587</v>
      </c>
      <c r="H66" s="35" t="s">
        <v>358</v>
      </c>
    </row>
    <row r="67" spans="1:8" x14ac:dyDescent="0.2">
      <c r="A67" s="14">
        <v>2013</v>
      </c>
      <c r="B67" s="14" t="s">
        <v>78</v>
      </c>
      <c r="C67" s="14" t="s">
        <v>90</v>
      </c>
      <c r="D67" s="14" t="s">
        <v>293</v>
      </c>
      <c r="E67" s="14" t="s">
        <v>142</v>
      </c>
      <c r="F67" s="75">
        <v>11838</v>
      </c>
      <c r="G67" s="14">
        <v>7892</v>
      </c>
      <c r="H67" s="35" t="s">
        <v>359</v>
      </c>
    </row>
    <row r="68" spans="1:8" x14ac:dyDescent="0.2">
      <c r="A68" s="14">
        <v>2013</v>
      </c>
      <c r="B68" s="14" t="s">
        <v>78</v>
      </c>
      <c r="C68" s="14" t="s">
        <v>143</v>
      </c>
      <c r="D68" s="14" t="s">
        <v>293</v>
      </c>
      <c r="E68" s="14" t="s">
        <v>142</v>
      </c>
      <c r="F68" s="75">
        <v>2367</v>
      </c>
      <c r="G68" s="14">
        <v>1578</v>
      </c>
      <c r="H68" s="35" t="s">
        <v>360</v>
      </c>
    </row>
    <row r="69" spans="1:8" x14ac:dyDescent="0.2">
      <c r="A69" s="14">
        <v>2013</v>
      </c>
      <c r="B69" s="14" t="s">
        <v>78</v>
      </c>
      <c r="C69" s="14" t="s">
        <v>90</v>
      </c>
      <c r="D69" s="14" t="s">
        <v>293</v>
      </c>
      <c r="E69" s="14" t="s">
        <v>142</v>
      </c>
      <c r="F69" s="75">
        <v>7030.5</v>
      </c>
      <c r="G69" s="14">
        <v>4687</v>
      </c>
      <c r="H69" s="35" t="s">
        <v>361</v>
      </c>
    </row>
    <row r="70" spans="1:8" x14ac:dyDescent="0.2">
      <c r="A70" s="14">
        <v>2013</v>
      </c>
      <c r="B70" s="14" t="s">
        <v>78</v>
      </c>
      <c r="C70" s="14" t="s">
        <v>138</v>
      </c>
      <c r="D70" s="14" t="s">
        <v>293</v>
      </c>
      <c r="E70" s="14" t="s">
        <v>142</v>
      </c>
      <c r="F70" s="75">
        <v>2046</v>
      </c>
      <c r="G70" s="14">
        <v>1364</v>
      </c>
      <c r="H70" s="35" t="s">
        <v>362</v>
      </c>
    </row>
    <row r="71" spans="1:8" x14ac:dyDescent="0.2">
      <c r="A71" s="14">
        <v>2013</v>
      </c>
      <c r="B71" s="14" t="s">
        <v>78</v>
      </c>
      <c r="C71" s="14" t="s">
        <v>90</v>
      </c>
      <c r="D71" s="14" t="s">
        <v>293</v>
      </c>
      <c r="E71" s="14" t="s">
        <v>142</v>
      </c>
      <c r="F71" s="75">
        <v>11838</v>
      </c>
      <c r="G71" s="14">
        <v>7892</v>
      </c>
      <c r="H71" s="35" t="s">
        <v>363</v>
      </c>
    </row>
    <row r="72" spans="1:8" x14ac:dyDescent="0.2">
      <c r="A72" s="14">
        <v>2013</v>
      </c>
      <c r="B72" s="14" t="s">
        <v>78</v>
      </c>
      <c r="C72" s="14" t="s">
        <v>143</v>
      </c>
      <c r="D72" s="14" t="s">
        <v>293</v>
      </c>
      <c r="E72" s="14" t="s">
        <v>142</v>
      </c>
      <c r="F72" s="75">
        <v>2367</v>
      </c>
      <c r="G72" s="14">
        <v>1578</v>
      </c>
      <c r="H72" s="35" t="s">
        <v>364</v>
      </c>
    </row>
    <row r="73" spans="1:8" x14ac:dyDescent="0.2">
      <c r="A73" s="14">
        <v>2013</v>
      </c>
      <c r="B73" s="14" t="s">
        <v>78</v>
      </c>
      <c r="C73" s="14" t="s">
        <v>90</v>
      </c>
      <c r="D73" s="14" t="s">
        <v>293</v>
      </c>
      <c r="E73" s="14" t="s">
        <v>142</v>
      </c>
      <c r="F73" s="75">
        <v>7030.5</v>
      </c>
      <c r="G73" s="14">
        <v>4687</v>
      </c>
      <c r="H73" s="35" t="s">
        <v>365</v>
      </c>
    </row>
    <row r="74" spans="1:8" x14ac:dyDescent="0.2">
      <c r="A74" s="14">
        <v>2013</v>
      </c>
      <c r="B74" s="14" t="s">
        <v>78</v>
      </c>
      <c r="C74" s="14" t="s">
        <v>138</v>
      </c>
      <c r="D74" s="14" t="s">
        <v>293</v>
      </c>
      <c r="E74" s="14" t="s">
        <v>142</v>
      </c>
      <c r="F74" s="75">
        <v>2046</v>
      </c>
      <c r="G74" s="14">
        <v>1364</v>
      </c>
      <c r="H74" s="35" t="s">
        <v>366</v>
      </c>
    </row>
    <row r="75" spans="1:8" x14ac:dyDescent="0.2">
      <c r="A75" s="14">
        <v>2013</v>
      </c>
      <c r="B75" s="14" t="s">
        <v>78</v>
      </c>
      <c r="C75" s="14" t="s">
        <v>140</v>
      </c>
      <c r="D75" s="14" t="s">
        <v>294</v>
      </c>
      <c r="E75" s="14" t="s">
        <v>115</v>
      </c>
      <c r="F75" s="75">
        <v>8793</v>
      </c>
      <c r="G75" s="14">
        <v>5862</v>
      </c>
      <c r="H75" s="35" t="s">
        <v>367</v>
      </c>
    </row>
    <row r="76" spans="1:8" x14ac:dyDescent="0.2">
      <c r="A76" s="14">
        <v>2013</v>
      </c>
      <c r="B76" s="14" t="s">
        <v>78</v>
      </c>
      <c r="C76" s="14" t="s">
        <v>140</v>
      </c>
      <c r="D76" s="14" t="s">
        <v>294</v>
      </c>
      <c r="E76" s="14" t="s">
        <v>115</v>
      </c>
      <c r="F76" s="75">
        <v>11122.5</v>
      </c>
      <c r="G76" s="14">
        <v>7415</v>
      </c>
      <c r="H76" s="35" t="s">
        <v>368</v>
      </c>
    </row>
    <row r="77" spans="1:8" x14ac:dyDescent="0.2">
      <c r="A77" s="14">
        <v>2013</v>
      </c>
      <c r="B77" s="14" t="s">
        <v>78</v>
      </c>
      <c r="C77" s="14" t="s">
        <v>90</v>
      </c>
      <c r="D77" s="14" t="s">
        <v>294</v>
      </c>
      <c r="E77" s="14" t="s">
        <v>115</v>
      </c>
      <c r="F77" s="75">
        <v>13428</v>
      </c>
      <c r="G77" s="14">
        <v>8952</v>
      </c>
      <c r="H77" s="35" t="s">
        <v>369</v>
      </c>
    </row>
    <row r="78" spans="1:8" x14ac:dyDescent="0.2">
      <c r="A78" s="14">
        <v>2013</v>
      </c>
      <c r="B78" s="14" t="s">
        <v>78</v>
      </c>
      <c r="C78" s="14" t="s">
        <v>140</v>
      </c>
      <c r="D78" s="14" t="s">
        <v>294</v>
      </c>
      <c r="E78" s="14" t="s">
        <v>115</v>
      </c>
      <c r="F78" s="75">
        <v>14619</v>
      </c>
      <c r="G78" s="14">
        <v>9746</v>
      </c>
      <c r="H78" s="35" t="s">
        <v>370</v>
      </c>
    </row>
    <row r="79" spans="1:8" x14ac:dyDescent="0.2">
      <c r="A79" s="14">
        <v>2013</v>
      </c>
      <c r="B79" s="14" t="s">
        <v>78</v>
      </c>
      <c r="C79" s="14" t="s">
        <v>143</v>
      </c>
      <c r="D79" s="14" t="s">
        <v>294</v>
      </c>
      <c r="E79" s="14" t="s">
        <v>115</v>
      </c>
      <c r="F79" s="75">
        <v>2367</v>
      </c>
      <c r="G79" s="14">
        <v>1578</v>
      </c>
      <c r="H79" s="35" t="s">
        <v>371</v>
      </c>
    </row>
    <row r="80" spans="1:8" x14ac:dyDescent="0.2">
      <c r="A80" s="14">
        <v>2013</v>
      </c>
      <c r="B80" s="14" t="s">
        <v>78</v>
      </c>
      <c r="C80" s="14" t="s">
        <v>140</v>
      </c>
      <c r="D80" s="14" t="s">
        <v>294</v>
      </c>
      <c r="E80" s="14" t="s">
        <v>115</v>
      </c>
      <c r="F80" s="75">
        <v>8793</v>
      </c>
      <c r="G80" s="14">
        <v>5862</v>
      </c>
      <c r="H80" s="35" t="s">
        <v>372</v>
      </c>
    </row>
    <row r="81" spans="1:8" x14ac:dyDescent="0.2">
      <c r="A81" s="14">
        <v>2013</v>
      </c>
      <c r="B81" s="14" t="s">
        <v>78</v>
      </c>
      <c r="C81" s="14" t="s">
        <v>140</v>
      </c>
      <c r="D81" s="14" t="s">
        <v>294</v>
      </c>
      <c r="E81" s="14" t="s">
        <v>115</v>
      </c>
      <c r="F81" s="75">
        <v>11122.5</v>
      </c>
      <c r="G81" s="14">
        <v>7415</v>
      </c>
      <c r="H81" s="35" t="s">
        <v>373</v>
      </c>
    </row>
    <row r="82" spans="1:8" x14ac:dyDescent="0.2">
      <c r="A82" s="14">
        <v>2013</v>
      </c>
      <c r="B82" s="14" t="s">
        <v>78</v>
      </c>
      <c r="C82" s="14" t="s">
        <v>90</v>
      </c>
      <c r="D82" s="14" t="s">
        <v>294</v>
      </c>
      <c r="E82" s="14" t="s">
        <v>115</v>
      </c>
      <c r="F82" s="75">
        <v>13428</v>
      </c>
      <c r="G82" s="14">
        <v>8952</v>
      </c>
      <c r="H82" s="35" t="s">
        <v>374</v>
      </c>
    </row>
    <row r="83" spans="1:8" x14ac:dyDescent="0.2">
      <c r="A83" s="14">
        <v>2013</v>
      </c>
      <c r="B83" s="14" t="s">
        <v>78</v>
      </c>
      <c r="C83" s="14" t="s">
        <v>140</v>
      </c>
      <c r="D83" s="14" t="s">
        <v>294</v>
      </c>
      <c r="E83" s="14" t="s">
        <v>115</v>
      </c>
      <c r="F83" s="75">
        <v>14619</v>
      </c>
      <c r="G83" s="14">
        <v>9746</v>
      </c>
      <c r="H83" s="35" t="s">
        <v>375</v>
      </c>
    </row>
    <row r="84" spans="1:8" x14ac:dyDescent="0.2">
      <c r="A84" s="14">
        <v>2013</v>
      </c>
      <c r="B84" s="14" t="s">
        <v>78</v>
      </c>
      <c r="C84" s="14" t="s">
        <v>143</v>
      </c>
      <c r="D84" s="14" t="s">
        <v>294</v>
      </c>
      <c r="E84" s="14" t="s">
        <v>115</v>
      </c>
      <c r="F84" s="75">
        <v>2367</v>
      </c>
      <c r="G84" s="14">
        <v>1578</v>
      </c>
      <c r="H84" s="35" t="s">
        <v>376</v>
      </c>
    </row>
    <row r="85" spans="1:8" x14ac:dyDescent="0.2">
      <c r="A85" s="14">
        <v>2013</v>
      </c>
      <c r="B85" s="14" t="s">
        <v>78</v>
      </c>
      <c r="C85" s="14" t="s">
        <v>90</v>
      </c>
      <c r="D85" s="14" t="s">
        <v>139</v>
      </c>
      <c r="E85" s="14" t="s">
        <v>118</v>
      </c>
      <c r="F85" s="75">
        <f t="shared" ref="F85:F96" si="4">G85*1.5</f>
        <v>11838</v>
      </c>
      <c r="G85" s="14">
        <v>7892</v>
      </c>
      <c r="H85" s="35" t="s">
        <v>377</v>
      </c>
    </row>
    <row r="86" spans="1:8" x14ac:dyDescent="0.2">
      <c r="A86" s="14">
        <v>2013</v>
      </c>
      <c r="B86" s="14" t="s">
        <v>78</v>
      </c>
      <c r="C86" s="14" t="s">
        <v>90</v>
      </c>
      <c r="D86" s="14" t="s">
        <v>139</v>
      </c>
      <c r="E86" s="14" t="s">
        <v>118</v>
      </c>
      <c r="F86" s="75">
        <f t="shared" si="4"/>
        <v>11979</v>
      </c>
      <c r="G86" s="14">
        <v>7986</v>
      </c>
      <c r="H86" s="35" t="s">
        <v>378</v>
      </c>
    </row>
    <row r="87" spans="1:8" x14ac:dyDescent="0.2">
      <c r="A87" s="14">
        <v>2013</v>
      </c>
      <c r="B87" s="14" t="s">
        <v>78</v>
      </c>
      <c r="C87" s="14" t="s">
        <v>90</v>
      </c>
      <c r="D87" s="14" t="s">
        <v>139</v>
      </c>
      <c r="E87" s="14" t="s">
        <v>118</v>
      </c>
      <c r="F87" s="75">
        <f t="shared" si="4"/>
        <v>11838</v>
      </c>
      <c r="G87" s="14">
        <v>7892</v>
      </c>
      <c r="H87" s="35" t="s">
        <v>379</v>
      </c>
    </row>
    <row r="88" spans="1:8" x14ac:dyDescent="0.2">
      <c r="A88" s="14">
        <v>2013</v>
      </c>
      <c r="B88" s="14" t="s">
        <v>78</v>
      </c>
      <c r="C88" s="14" t="s">
        <v>90</v>
      </c>
      <c r="D88" s="14" t="s">
        <v>139</v>
      </c>
      <c r="E88" s="14" t="s">
        <v>118</v>
      </c>
      <c r="F88" s="75">
        <f t="shared" si="4"/>
        <v>11979</v>
      </c>
      <c r="G88" s="14">
        <v>7986</v>
      </c>
      <c r="H88" s="35" t="s">
        <v>380</v>
      </c>
    </row>
    <row r="89" spans="1:8" x14ac:dyDescent="0.2">
      <c r="A89" s="14">
        <v>2013</v>
      </c>
      <c r="B89" s="14" t="s">
        <v>78</v>
      </c>
      <c r="C89" s="14" t="s">
        <v>90</v>
      </c>
      <c r="D89" s="14" t="s">
        <v>141</v>
      </c>
      <c r="E89" s="14" t="s">
        <v>142</v>
      </c>
      <c r="F89" s="75">
        <f t="shared" si="4"/>
        <v>7030.5</v>
      </c>
      <c r="G89" s="14">
        <v>4687</v>
      </c>
      <c r="H89" s="35" t="s">
        <v>381</v>
      </c>
    </row>
    <row r="90" spans="1:8" x14ac:dyDescent="0.2">
      <c r="A90" s="14">
        <v>2013</v>
      </c>
      <c r="B90" s="14" t="s">
        <v>78</v>
      </c>
      <c r="C90" s="14" t="s">
        <v>138</v>
      </c>
      <c r="D90" s="14" t="s">
        <v>141</v>
      </c>
      <c r="E90" s="14" t="s">
        <v>142</v>
      </c>
      <c r="F90" s="75">
        <f t="shared" si="4"/>
        <v>2046</v>
      </c>
      <c r="G90" s="14">
        <v>1364</v>
      </c>
      <c r="H90" s="35" t="s">
        <v>382</v>
      </c>
    </row>
    <row r="91" spans="1:8" x14ac:dyDescent="0.2">
      <c r="A91" s="14">
        <v>2013</v>
      </c>
      <c r="B91" s="14" t="s">
        <v>78</v>
      </c>
      <c r="C91" s="14" t="s">
        <v>90</v>
      </c>
      <c r="D91" s="14" t="s">
        <v>141</v>
      </c>
      <c r="E91" s="14" t="s">
        <v>142</v>
      </c>
      <c r="F91" s="75">
        <f t="shared" si="4"/>
        <v>7030.5</v>
      </c>
      <c r="G91" s="14">
        <v>4687</v>
      </c>
      <c r="H91" s="35" t="s">
        <v>383</v>
      </c>
    </row>
    <row r="92" spans="1:8" x14ac:dyDescent="0.2">
      <c r="A92" s="14">
        <v>2013</v>
      </c>
      <c r="B92" s="14" t="s">
        <v>78</v>
      </c>
      <c r="C92" s="14" t="s">
        <v>138</v>
      </c>
      <c r="D92" s="14" t="s">
        <v>141</v>
      </c>
      <c r="E92" s="14" t="s">
        <v>142</v>
      </c>
      <c r="F92" s="75">
        <f t="shared" si="4"/>
        <v>2046</v>
      </c>
      <c r="G92" s="14">
        <v>1364</v>
      </c>
      <c r="H92" s="35" t="s">
        <v>384</v>
      </c>
    </row>
    <row r="93" spans="1:8" x14ac:dyDescent="0.2">
      <c r="A93" s="14">
        <v>2013</v>
      </c>
      <c r="B93" s="14" t="s">
        <v>88</v>
      </c>
      <c r="C93" s="14" t="s">
        <v>138</v>
      </c>
      <c r="D93" s="14" t="s">
        <v>137</v>
      </c>
      <c r="E93" s="14" t="s">
        <v>117</v>
      </c>
      <c r="F93" s="75">
        <f t="shared" si="4"/>
        <v>747</v>
      </c>
      <c r="G93" s="14">
        <v>498</v>
      </c>
      <c r="H93" s="35" t="s">
        <v>385</v>
      </c>
    </row>
    <row r="94" spans="1:8" x14ac:dyDescent="0.2">
      <c r="A94" s="14">
        <v>2013</v>
      </c>
      <c r="B94" s="14" t="s">
        <v>88</v>
      </c>
      <c r="C94" s="14" t="s">
        <v>143</v>
      </c>
      <c r="D94" s="14" t="s">
        <v>137</v>
      </c>
      <c r="E94" s="14" t="s">
        <v>117</v>
      </c>
      <c r="F94" s="75">
        <f t="shared" si="4"/>
        <v>7342.5</v>
      </c>
      <c r="G94" s="14">
        <v>4895</v>
      </c>
      <c r="H94" s="35" t="s">
        <v>386</v>
      </c>
    </row>
    <row r="95" spans="1:8" x14ac:dyDescent="0.2">
      <c r="A95" s="14">
        <v>2013</v>
      </c>
      <c r="B95" s="14" t="s">
        <v>88</v>
      </c>
      <c r="C95" s="14" t="s">
        <v>138</v>
      </c>
      <c r="D95" s="14" t="s">
        <v>137</v>
      </c>
      <c r="E95" s="14" t="s">
        <v>117</v>
      </c>
      <c r="F95" s="75">
        <f t="shared" si="4"/>
        <v>747</v>
      </c>
      <c r="G95" s="14">
        <v>498</v>
      </c>
      <c r="H95" s="35" t="s">
        <v>387</v>
      </c>
    </row>
    <row r="96" spans="1:8" x14ac:dyDescent="0.2">
      <c r="A96" s="14">
        <v>2013</v>
      </c>
      <c r="B96" s="14" t="s">
        <v>88</v>
      </c>
      <c r="C96" s="14" t="s">
        <v>143</v>
      </c>
      <c r="D96" s="14" t="s">
        <v>137</v>
      </c>
      <c r="E96" s="14" t="s">
        <v>117</v>
      </c>
      <c r="F96" s="75">
        <f t="shared" si="4"/>
        <v>7342.5</v>
      </c>
      <c r="G96" s="14">
        <v>4895</v>
      </c>
      <c r="H96" s="35" t="s">
        <v>388</v>
      </c>
    </row>
    <row r="97" spans="1:8" x14ac:dyDescent="0.2">
      <c r="A97" s="14">
        <v>2013</v>
      </c>
      <c r="B97" s="14" t="s">
        <v>88</v>
      </c>
      <c r="C97" s="14" t="s">
        <v>143</v>
      </c>
      <c r="D97" s="14" t="s">
        <v>293</v>
      </c>
      <c r="E97" s="14" t="s">
        <v>142</v>
      </c>
      <c r="F97" s="75">
        <v>7344</v>
      </c>
      <c r="G97" s="14">
        <v>4896</v>
      </c>
      <c r="H97" s="35" t="s">
        <v>389</v>
      </c>
    </row>
    <row r="98" spans="1:8" x14ac:dyDescent="0.2">
      <c r="A98" s="14">
        <v>2013</v>
      </c>
      <c r="B98" s="14" t="s">
        <v>88</v>
      </c>
      <c r="C98" s="14" t="s">
        <v>90</v>
      </c>
      <c r="D98" s="14" t="s">
        <v>293</v>
      </c>
      <c r="E98" s="14" t="s">
        <v>142</v>
      </c>
      <c r="F98" s="75">
        <v>6880.5</v>
      </c>
      <c r="G98" s="14">
        <v>4587</v>
      </c>
      <c r="H98" s="35" t="s">
        <v>390</v>
      </c>
    </row>
    <row r="99" spans="1:8" x14ac:dyDescent="0.2">
      <c r="A99" s="14">
        <v>2013</v>
      </c>
      <c r="B99" s="14" t="s">
        <v>88</v>
      </c>
      <c r="C99" s="14" t="s">
        <v>143</v>
      </c>
      <c r="D99" s="14" t="s">
        <v>293</v>
      </c>
      <c r="E99" s="14" t="s">
        <v>142</v>
      </c>
      <c r="F99" s="75">
        <v>7344</v>
      </c>
      <c r="G99" s="14">
        <v>4896</v>
      </c>
      <c r="H99" s="35" t="s">
        <v>391</v>
      </c>
    </row>
    <row r="100" spans="1:8" x14ac:dyDescent="0.2">
      <c r="A100" s="14">
        <v>2013</v>
      </c>
      <c r="B100" s="14" t="s">
        <v>88</v>
      </c>
      <c r="C100" s="14" t="s">
        <v>90</v>
      </c>
      <c r="D100" s="14" t="s">
        <v>293</v>
      </c>
      <c r="E100" s="14" t="s">
        <v>142</v>
      </c>
      <c r="F100" s="75">
        <v>6880.5</v>
      </c>
      <c r="G100" s="14">
        <v>4587</v>
      </c>
      <c r="H100" s="35" t="s">
        <v>392</v>
      </c>
    </row>
    <row r="101" spans="1:8" x14ac:dyDescent="0.2">
      <c r="A101" s="14">
        <v>2013</v>
      </c>
      <c r="B101" s="14" t="s">
        <v>88</v>
      </c>
      <c r="C101" s="14" t="s">
        <v>90</v>
      </c>
      <c r="D101" s="14" t="s">
        <v>294</v>
      </c>
      <c r="E101" s="14" t="s">
        <v>115</v>
      </c>
      <c r="F101" s="75">
        <v>5380.5</v>
      </c>
      <c r="G101" s="14">
        <v>3587</v>
      </c>
      <c r="H101" s="35" t="s">
        <v>393</v>
      </c>
    </row>
    <row r="102" spans="1:8" x14ac:dyDescent="0.2">
      <c r="A102" s="14">
        <v>2013</v>
      </c>
      <c r="B102" s="14" t="s">
        <v>88</v>
      </c>
      <c r="C102" s="14" t="s">
        <v>90</v>
      </c>
      <c r="D102" s="14" t="s">
        <v>294</v>
      </c>
      <c r="E102" s="14" t="s">
        <v>115</v>
      </c>
      <c r="F102" s="75">
        <v>11838</v>
      </c>
      <c r="G102" s="14">
        <v>7892</v>
      </c>
      <c r="H102" s="35" t="s">
        <v>394</v>
      </c>
    </row>
    <row r="103" spans="1:8" x14ac:dyDescent="0.2">
      <c r="A103" s="14">
        <v>2013</v>
      </c>
      <c r="B103" s="14" t="s">
        <v>88</v>
      </c>
      <c r="C103" s="14" t="s">
        <v>90</v>
      </c>
      <c r="D103" s="14" t="s">
        <v>294</v>
      </c>
      <c r="E103" s="14" t="s">
        <v>115</v>
      </c>
      <c r="F103" s="75">
        <v>5380.5</v>
      </c>
      <c r="G103" s="14">
        <v>3587</v>
      </c>
      <c r="H103" s="35" t="s">
        <v>395</v>
      </c>
    </row>
    <row r="104" spans="1:8" x14ac:dyDescent="0.2">
      <c r="A104" s="14">
        <v>2013</v>
      </c>
      <c r="B104" s="14" t="s">
        <v>88</v>
      </c>
      <c r="C104" s="14" t="s">
        <v>90</v>
      </c>
      <c r="D104" s="14" t="s">
        <v>294</v>
      </c>
      <c r="E104" s="14" t="s">
        <v>115</v>
      </c>
      <c r="F104" s="75">
        <v>11838</v>
      </c>
      <c r="G104" s="14">
        <v>7892</v>
      </c>
      <c r="H104" s="35" t="s">
        <v>396</v>
      </c>
    </row>
    <row r="105" spans="1:8" x14ac:dyDescent="0.2">
      <c r="A105" s="14">
        <v>2013</v>
      </c>
      <c r="B105" s="14" t="s">
        <v>88</v>
      </c>
      <c r="C105" s="14" t="s">
        <v>143</v>
      </c>
      <c r="D105" s="14" t="s">
        <v>139</v>
      </c>
      <c r="E105" s="14" t="s">
        <v>118</v>
      </c>
      <c r="F105" s="75">
        <f t="shared" ref="F105:F114" si="5">G105*1.5</f>
        <v>7344</v>
      </c>
      <c r="G105" s="14">
        <v>4896</v>
      </c>
      <c r="H105" s="35" t="s">
        <v>397</v>
      </c>
    </row>
    <row r="106" spans="1:8" x14ac:dyDescent="0.2">
      <c r="A106" s="14">
        <v>2013</v>
      </c>
      <c r="B106" s="14" t="s">
        <v>88</v>
      </c>
      <c r="C106" s="14" t="s">
        <v>90</v>
      </c>
      <c r="D106" s="14" t="s">
        <v>139</v>
      </c>
      <c r="E106" s="14" t="s">
        <v>118</v>
      </c>
      <c r="F106" s="75">
        <f t="shared" si="5"/>
        <v>6880.5</v>
      </c>
      <c r="G106" s="14">
        <v>4587</v>
      </c>
      <c r="H106" s="35" t="s">
        <v>398</v>
      </c>
    </row>
    <row r="107" spans="1:8" x14ac:dyDescent="0.2">
      <c r="A107" s="14">
        <v>2013</v>
      </c>
      <c r="B107" s="14" t="s">
        <v>88</v>
      </c>
      <c r="C107" s="14" t="s">
        <v>90</v>
      </c>
      <c r="D107" s="14" t="s">
        <v>139</v>
      </c>
      <c r="E107" s="14" t="s">
        <v>118</v>
      </c>
      <c r="F107" s="75">
        <f t="shared" si="5"/>
        <v>7318.5</v>
      </c>
      <c r="G107" s="14">
        <v>4879</v>
      </c>
      <c r="H107" s="35" t="s">
        <v>399</v>
      </c>
    </row>
    <row r="108" spans="1:8" x14ac:dyDescent="0.2">
      <c r="A108" s="14">
        <v>2013</v>
      </c>
      <c r="B108" s="14" t="s">
        <v>88</v>
      </c>
      <c r="C108" s="14" t="s">
        <v>143</v>
      </c>
      <c r="D108" s="14" t="s">
        <v>139</v>
      </c>
      <c r="E108" s="14" t="s">
        <v>118</v>
      </c>
      <c r="F108" s="75">
        <f t="shared" si="5"/>
        <v>7344</v>
      </c>
      <c r="G108" s="14">
        <v>4896</v>
      </c>
      <c r="H108" s="35" t="s">
        <v>400</v>
      </c>
    </row>
    <row r="109" spans="1:8" x14ac:dyDescent="0.2">
      <c r="A109" s="14">
        <v>2013</v>
      </c>
      <c r="B109" s="14" t="s">
        <v>88</v>
      </c>
      <c r="C109" s="14" t="s">
        <v>90</v>
      </c>
      <c r="D109" s="14" t="s">
        <v>139</v>
      </c>
      <c r="E109" s="14" t="s">
        <v>118</v>
      </c>
      <c r="F109" s="75">
        <f t="shared" si="5"/>
        <v>6880.5</v>
      </c>
      <c r="G109" s="14">
        <v>4587</v>
      </c>
      <c r="H109" s="35" t="s">
        <v>401</v>
      </c>
    </row>
    <row r="110" spans="1:8" x14ac:dyDescent="0.2">
      <c r="A110" s="14">
        <v>2013</v>
      </c>
      <c r="B110" s="14" t="s">
        <v>88</v>
      </c>
      <c r="C110" s="14" t="s">
        <v>90</v>
      </c>
      <c r="D110" s="14" t="s">
        <v>139</v>
      </c>
      <c r="E110" s="14" t="s">
        <v>118</v>
      </c>
      <c r="F110" s="75">
        <f t="shared" si="5"/>
        <v>7318.5</v>
      </c>
      <c r="G110" s="14">
        <v>4879</v>
      </c>
      <c r="H110" s="35" t="s">
        <v>402</v>
      </c>
    </row>
    <row r="111" spans="1:8" x14ac:dyDescent="0.2">
      <c r="A111" s="14">
        <v>2013</v>
      </c>
      <c r="B111" s="14" t="s">
        <v>88</v>
      </c>
      <c r="C111" s="14" t="s">
        <v>140</v>
      </c>
      <c r="D111" s="14" t="s">
        <v>141</v>
      </c>
      <c r="E111" s="14" t="s">
        <v>142</v>
      </c>
      <c r="F111" s="75">
        <f t="shared" si="5"/>
        <v>6880.5</v>
      </c>
      <c r="G111" s="14">
        <v>4587</v>
      </c>
      <c r="H111" s="35" t="s">
        <v>403</v>
      </c>
    </row>
    <row r="112" spans="1:8" x14ac:dyDescent="0.2">
      <c r="A112" s="14">
        <v>2013</v>
      </c>
      <c r="B112" s="14" t="s">
        <v>88</v>
      </c>
      <c r="C112" s="14" t="s">
        <v>90</v>
      </c>
      <c r="D112" s="14" t="s">
        <v>141</v>
      </c>
      <c r="E112" s="14" t="s">
        <v>142</v>
      </c>
      <c r="F112" s="75">
        <f t="shared" si="5"/>
        <v>9486</v>
      </c>
      <c r="G112" s="14">
        <v>6324</v>
      </c>
      <c r="H112" s="35" t="s">
        <v>404</v>
      </c>
    </row>
    <row r="113" spans="1:8" x14ac:dyDescent="0.2">
      <c r="A113" s="14">
        <v>2013</v>
      </c>
      <c r="B113" s="14" t="s">
        <v>88</v>
      </c>
      <c r="C113" s="14" t="s">
        <v>140</v>
      </c>
      <c r="D113" s="14" t="s">
        <v>141</v>
      </c>
      <c r="E113" s="14" t="s">
        <v>142</v>
      </c>
      <c r="F113" s="75">
        <f t="shared" si="5"/>
        <v>6880.5</v>
      </c>
      <c r="G113" s="14">
        <v>4587</v>
      </c>
      <c r="H113" s="35" t="s">
        <v>405</v>
      </c>
    </row>
    <row r="114" spans="1:8" x14ac:dyDescent="0.2">
      <c r="A114" s="14">
        <v>2013</v>
      </c>
      <c r="B114" s="14" t="s">
        <v>88</v>
      </c>
      <c r="C114" s="14" t="s">
        <v>90</v>
      </c>
      <c r="D114" s="14" t="s">
        <v>141</v>
      </c>
      <c r="E114" s="14" t="s">
        <v>142</v>
      </c>
      <c r="F114" s="75">
        <f t="shared" si="5"/>
        <v>9486</v>
      </c>
      <c r="G114" s="14">
        <v>6324</v>
      </c>
      <c r="H114" s="35" t="s">
        <v>406</v>
      </c>
    </row>
    <row r="115" spans="1:8" x14ac:dyDescent="0.2">
      <c r="A115" s="14">
        <v>2013</v>
      </c>
      <c r="B115" s="14" t="s">
        <v>89</v>
      </c>
      <c r="C115" s="14" t="s">
        <v>90</v>
      </c>
      <c r="D115" s="14" t="s">
        <v>137</v>
      </c>
      <c r="E115" s="14" t="s">
        <v>117</v>
      </c>
      <c r="F115" s="75">
        <v>4666</v>
      </c>
      <c r="G115" s="14">
        <v>5623</v>
      </c>
      <c r="H115" s="35" t="s">
        <v>407</v>
      </c>
    </row>
    <row r="116" spans="1:8" x14ac:dyDescent="0.2">
      <c r="A116" s="14">
        <v>2013</v>
      </c>
      <c r="B116" s="14" t="s">
        <v>89</v>
      </c>
      <c r="C116" s="14" t="s">
        <v>90</v>
      </c>
      <c r="D116" s="14" t="s">
        <v>137</v>
      </c>
      <c r="E116" s="14" t="s">
        <v>117</v>
      </c>
      <c r="F116" s="75">
        <f>G116*1.5</f>
        <v>10992</v>
      </c>
      <c r="G116" s="14">
        <v>7328</v>
      </c>
      <c r="H116" s="35" t="s">
        <v>408</v>
      </c>
    </row>
    <row r="117" spans="1:8" x14ac:dyDescent="0.2">
      <c r="A117" s="14">
        <v>2013</v>
      </c>
      <c r="B117" s="14" t="s">
        <v>89</v>
      </c>
      <c r="C117" s="14" t="s">
        <v>90</v>
      </c>
      <c r="D117" s="14" t="s">
        <v>137</v>
      </c>
      <c r="E117" s="14" t="s">
        <v>117</v>
      </c>
      <c r="F117" s="75">
        <v>4666</v>
      </c>
      <c r="G117" s="14">
        <v>5623</v>
      </c>
      <c r="H117" s="35" t="s">
        <v>409</v>
      </c>
    </row>
    <row r="118" spans="1:8" x14ac:dyDescent="0.2">
      <c r="A118" s="14">
        <v>2013</v>
      </c>
      <c r="B118" s="14" t="s">
        <v>89</v>
      </c>
      <c r="C118" s="14" t="s">
        <v>90</v>
      </c>
      <c r="D118" s="14" t="s">
        <v>137</v>
      </c>
      <c r="E118" s="14" t="s">
        <v>117</v>
      </c>
      <c r="F118" s="75">
        <f>G118*1.5</f>
        <v>10992</v>
      </c>
      <c r="G118" s="14">
        <v>7328</v>
      </c>
      <c r="H118" s="35" t="s">
        <v>410</v>
      </c>
    </row>
    <row r="119" spans="1:8" x14ac:dyDescent="0.2">
      <c r="A119" s="14">
        <v>2013</v>
      </c>
      <c r="B119" s="14" t="s">
        <v>89</v>
      </c>
      <c r="C119" s="14" t="s">
        <v>90</v>
      </c>
      <c r="D119" s="14" t="s">
        <v>293</v>
      </c>
      <c r="E119" s="14" t="s">
        <v>142</v>
      </c>
      <c r="F119" s="75">
        <v>4666</v>
      </c>
      <c r="G119" s="14">
        <v>5623</v>
      </c>
      <c r="H119" s="35" t="s">
        <v>411</v>
      </c>
    </row>
    <row r="120" spans="1:8" x14ac:dyDescent="0.2">
      <c r="A120" s="14">
        <v>2013</v>
      </c>
      <c r="B120" s="14" t="s">
        <v>89</v>
      </c>
      <c r="C120" s="14" t="s">
        <v>138</v>
      </c>
      <c r="D120" s="14" t="s">
        <v>293</v>
      </c>
      <c r="E120" s="14" t="s">
        <v>142</v>
      </c>
      <c r="F120" s="75">
        <v>3897</v>
      </c>
      <c r="G120" s="14">
        <v>2598</v>
      </c>
      <c r="H120" s="35" t="s">
        <v>412</v>
      </c>
    </row>
    <row r="121" spans="1:8" x14ac:dyDescent="0.2">
      <c r="A121" s="14">
        <v>2013</v>
      </c>
      <c r="B121" s="14" t="s">
        <v>89</v>
      </c>
      <c r="C121" s="14" t="s">
        <v>90</v>
      </c>
      <c r="D121" s="14" t="s">
        <v>293</v>
      </c>
      <c r="E121" s="14" t="s">
        <v>142</v>
      </c>
      <c r="F121" s="75">
        <v>4666</v>
      </c>
      <c r="G121" s="14">
        <v>5623</v>
      </c>
      <c r="H121" s="35" t="s">
        <v>413</v>
      </c>
    </row>
    <row r="122" spans="1:8" x14ac:dyDescent="0.2">
      <c r="A122" s="14">
        <v>2013</v>
      </c>
      <c r="B122" s="14" t="s">
        <v>89</v>
      </c>
      <c r="C122" s="14" t="s">
        <v>138</v>
      </c>
      <c r="D122" s="14" t="s">
        <v>293</v>
      </c>
      <c r="E122" s="14" t="s">
        <v>142</v>
      </c>
      <c r="F122" s="75">
        <v>3897</v>
      </c>
      <c r="G122" s="14">
        <v>2598</v>
      </c>
      <c r="H122" s="35" t="s">
        <v>414</v>
      </c>
    </row>
    <row r="123" spans="1:8" x14ac:dyDescent="0.2">
      <c r="A123" s="14">
        <v>2013</v>
      </c>
      <c r="B123" s="14" t="s">
        <v>89</v>
      </c>
      <c r="C123" s="14" t="s">
        <v>138</v>
      </c>
      <c r="D123" s="14" t="s">
        <v>294</v>
      </c>
      <c r="E123" s="14" t="s">
        <v>115</v>
      </c>
      <c r="F123" s="75">
        <f t="shared" ref="F123:F140" si="6">G123*1.5</f>
        <v>747</v>
      </c>
      <c r="G123" s="14">
        <v>498</v>
      </c>
      <c r="H123" s="35" t="s">
        <v>415</v>
      </c>
    </row>
    <row r="124" spans="1:8" x14ac:dyDescent="0.2">
      <c r="A124" s="14">
        <v>2013</v>
      </c>
      <c r="B124" s="14" t="s">
        <v>89</v>
      </c>
      <c r="C124" s="14" t="s">
        <v>140</v>
      </c>
      <c r="D124" s="14" t="s">
        <v>294</v>
      </c>
      <c r="E124" s="14" t="s">
        <v>115</v>
      </c>
      <c r="F124" s="75">
        <f t="shared" si="6"/>
        <v>6880.5</v>
      </c>
      <c r="G124" s="14">
        <v>4587</v>
      </c>
      <c r="H124" s="35" t="s">
        <v>416</v>
      </c>
    </row>
    <row r="125" spans="1:8" x14ac:dyDescent="0.2">
      <c r="A125" s="14">
        <v>2013</v>
      </c>
      <c r="B125" s="14" t="s">
        <v>89</v>
      </c>
      <c r="C125" s="14" t="s">
        <v>138</v>
      </c>
      <c r="D125" s="14" t="s">
        <v>294</v>
      </c>
      <c r="E125" s="14" t="s">
        <v>115</v>
      </c>
      <c r="F125" s="75">
        <f t="shared" si="6"/>
        <v>747</v>
      </c>
      <c r="G125" s="14">
        <v>498</v>
      </c>
      <c r="H125" s="35" t="s">
        <v>417</v>
      </c>
    </row>
    <row r="126" spans="1:8" x14ac:dyDescent="0.2">
      <c r="A126" s="14">
        <v>2013</v>
      </c>
      <c r="B126" s="14" t="s">
        <v>89</v>
      </c>
      <c r="C126" s="14" t="s">
        <v>140</v>
      </c>
      <c r="D126" s="14" t="s">
        <v>294</v>
      </c>
      <c r="E126" s="14" t="s">
        <v>115</v>
      </c>
      <c r="F126" s="75">
        <f t="shared" si="6"/>
        <v>6880.5</v>
      </c>
      <c r="G126" s="14">
        <v>4587</v>
      </c>
      <c r="H126" s="35" t="s">
        <v>418</v>
      </c>
    </row>
    <row r="127" spans="1:8" x14ac:dyDescent="0.2">
      <c r="A127" s="14">
        <v>2013</v>
      </c>
      <c r="B127" s="14" t="s">
        <v>89</v>
      </c>
      <c r="C127" s="14" t="s">
        <v>138</v>
      </c>
      <c r="D127" s="14" t="s">
        <v>139</v>
      </c>
      <c r="E127" s="14" t="s">
        <v>118</v>
      </c>
      <c r="F127" s="75">
        <f t="shared" si="6"/>
        <v>3897</v>
      </c>
      <c r="G127" s="14">
        <v>2598</v>
      </c>
      <c r="H127" s="35" t="s">
        <v>419</v>
      </c>
    </row>
    <row r="128" spans="1:8" x14ac:dyDescent="0.2">
      <c r="A128" s="14">
        <v>2013</v>
      </c>
      <c r="B128" s="14" t="s">
        <v>89</v>
      </c>
      <c r="C128" s="14" t="s">
        <v>143</v>
      </c>
      <c r="D128" s="14" t="s">
        <v>139</v>
      </c>
      <c r="E128" s="14" t="s">
        <v>118</v>
      </c>
      <c r="F128" s="75">
        <f t="shared" si="6"/>
        <v>3084</v>
      </c>
      <c r="G128" s="14">
        <v>2056</v>
      </c>
      <c r="H128" s="35" t="s">
        <v>420</v>
      </c>
    </row>
    <row r="129" spans="1:8" x14ac:dyDescent="0.2">
      <c r="A129" s="14">
        <v>2013</v>
      </c>
      <c r="B129" s="14" t="s">
        <v>89</v>
      </c>
      <c r="C129" s="14" t="s">
        <v>138</v>
      </c>
      <c r="D129" s="14" t="s">
        <v>139</v>
      </c>
      <c r="E129" s="14" t="s">
        <v>118</v>
      </c>
      <c r="F129" s="75">
        <f t="shared" si="6"/>
        <v>3897</v>
      </c>
      <c r="G129" s="14">
        <v>2598</v>
      </c>
      <c r="H129" s="35" t="s">
        <v>421</v>
      </c>
    </row>
    <row r="130" spans="1:8" x14ac:dyDescent="0.2">
      <c r="A130" s="14">
        <v>2013</v>
      </c>
      <c r="B130" s="14" t="s">
        <v>89</v>
      </c>
      <c r="C130" s="14" t="s">
        <v>143</v>
      </c>
      <c r="D130" s="14" t="s">
        <v>139</v>
      </c>
      <c r="E130" s="14" t="s">
        <v>118</v>
      </c>
      <c r="F130" s="75">
        <f t="shared" si="6"/>
        <v>3084</v>
      </c>
      <c r="G130" s="14">
        <v>2056</v>
      </c>
      <c r="H130" s="35" t="s">
        <v>422</v>
      </c>
    </row>
    <row r="131" spans="1:8" x14ac:dyDescent="0.2">
      <c r="A131" s="14">
        <v>2013</v>
      </c>
      <c r="B131" s="14" t="s">
        <v>89</v>
      </c>
      <c r="C131" s="14" t="s">
        <v>140</v>
      </c>
      <c r="D131" s="14" t="s">
        <v>141</v>
      </c>
      <c r="E131" s="14" t="s">
        <v>142</v>
      </c>
      <c r="F131" s="75">
        <f t="shared" si="6"/>
        <v>12370.5</v>
      </c>
      <c r="G131" s="14">
        <v>8247</v>
      </c>
      <c r="H131" s="35" t="s">
        <v>423</v>
      </c>
    </row>
    <row r="132" spans="1:8" x14ac:dyDescent="0.2">
      <c r="A132" s="14">
        <v>2013</v>
      </c>
      <c r="B132" s="14" t="s">
        <v>89</v>
      </c>
      <c r="C132" s="14" t="s">
        <v>90</v>
      </c>
      <c r="D132" s="14" t="s">
        <v>141</v>
      </c>
      <c r="E132" s="14" t="s">
        <v>142</v>
      </c>
      <c r="F132" s="75">
        <f t="shared" si="6"/>
        <v>13231.5</v>
      </c>
      <c r="G132" s="14">
        <v>8821</v>
      </c>
      <c r="H132" s="35" t="s">
        <v>424</v>
      </c>
    </row>
    <row r="133" spans="1:8" x14ac:dyDescent="0.2">
      <c r="A133" s="14">
        <v>2013</v>
      </c>
      <c r="B133" s="14" t="s">
        <v>89</v>
      </c>
      <c r="C133" s="14" t="s">
        <v>140</v>
      </c>
      <c r="D133" s="14" t="s">
        <v>141</v>
      </c>
      <c r="E133" s="14" t="s">
        <v>142</v>
      </c>
      <c r="F133" s="75">
        <f t="shared" si="6"/>
        <v>12370.5</v>
      </c>
      <c r="G133" s="14">
        <v>8247</v>
      </c>
      <c r="H133" s="35" t="s">
        <v>425</v>
      </c>
    </row>
    <row r="134" spans="1:8" x14ac:dyDescent="0.2">
      <c r="A134" s="14">
        <v>2013</v>
      </c>
      <c r="B134" s="14" t="s">
        <v>89</v>
      </c>
      <c r="C134" s="14" t="s">
        <v>90</v>
      </c>
      <c r="D134" s="14" t="s">
        <v>141</v>
      </c>
      <c r="E134" s="14" t="s">
        <v>142</v>
      </c>
      <c r="F134" s="75">
        <f t="shared" si="6"/>
        <v>13231.5</v>
      </c>
      <c r="G134" s="14">
        <v>8821</v>
      </c>
      <c r="H134" s="35" t="s">
        <v>426</v>
      </c>
    </row>
    <row r="135" spans="1:8" x14ac:dyDescent="0.2">
      <c r="A135" s="14">
        <v>2013</v>
      </c>
      <c r="B135" s="14" t="s">
        <v>144</v>
      </c>
      <c r="C135" s="14" t="s">
        <v>138</v>
      </c>
      <c r="D135" s="14" t="s">
        <v>137</v>
      </c>
      <c r="E135" s="14" t="s">
        <v>117</v>
      </c>
      <c r="F135" s="75">
        <f t="shared" si="6"/>
        <v>8832</v>
      </c>
      <c r="G135" s="14">
        <v>5888</v>
      </c>
      <c r="H135" s="35" t="s">
        <v>427</v>
      </c>
    </row>
    <row r="136" spans="1:8" x14ac:dyDescent="0.2">
      <c r="A136" s="14">
        <v>2013</v>
      </c>
      <c r="B136" s="14" t="s">
        <v>144</v>
      </c>
      <c r="C136" s="14" t="s">
        <v>90</v>
      </c>
      <c r="D136" s="14" t="s">
        <v>137</v>
      </c>
      <c r="E136" s="14" t="s">
        <v>117</v>
      </c>
      <c r="F136" s="75">
        <f t="shared" si="6"/>
        <v>13413</v>
      </c>
      <c r="G136" s="14">
        <v>8942</v>
      </c>
      <c r="H136" s="35" t="s">
        <v>428</v>
      </c>
    </row>
    <row r="137" spans="1:8" x14ac:dyDescent="0.2">
      <c r="A137" s="14">
        <v>2013</v>
      </c>
      <c r="B137" s="14" t="s">
        <v>144</v>
      </c>
      <c r="C137" s="14" t="s">
        <v>143</v>
      </c>
      <c r="D137" s="14" t="s">
        <v>137</v>
      </c>
      <c r="E137" s="14" t="s">
        <v>117</v>
      </c>
      <c r="F137" s="75">
        <f t="shared" si="6"/>
        <v>4026</v>
      </c>
      <c r="G137" s="14">
        <v>2684</v>
      </c>
      <c r="H137" s="35" t="s">
        <v>429</v>
      </c>
    </row>
    <row r="138" spans="1:8" x14ac:dyDescent="0.2">
      <c r="A138" s="14">
        <v>2013</v>
      </c>
      <c r="B138" s="14" t="s">
        <v>144</v>
      </c>
      <c r="C138" s="14" t="s">
        <v>138</v>
      </c>
      <c r="D138" s="14" t="s">
        <v>137</v>
      </c>
      <c r="E138" s="14" t="s">
        <v>117</v>
      </c>
      <c r="F138" s="75">
        <f t="shared" si="6"/>
        <v>8832</v>
      </c>
      <c r="G138" s="14">
        <v>5888</v>
      </c>
      <c r="H138" s="35" t="s">
        <v>430</v>
      </c>
    </row>
    <row r="139" spans="1:8" x14ac:dyDescent="0.2">
      <c r="A139" s="14">
        <v>2013</v>
      </c>
      <c r="B139" s="14" t="s">
        <v>144</v>
      </c>
      <c r="C139" s="14" t="s">
        <v>90</v>
      </c>
      <c r="D139" s="14" t="s">
        <v>137</v>
      </c>
      <c r="E139" s="14" t="s">
        <v>117</v>
      </c>
      <c r="F139" s="75">
        <f t="shared" si="6"/>
        <v>13413</v>
      </c>
      <c r="G139" s="14">
        <v>8942</v>
      </c>
      <c r="H139" s="35" t="s">
        <v>431</v>
      </c>
    </row>
    <row r="140" spans="1:8" x14ac:dyDescent="0.2">
      <c r="A140" s="14">
        <v>2013</v>
      </c>
      <c r="B140" s="14" t="s">
        <v>144</v>
      </c>
      <c r="C140" s="14" t="s">
        <v>143</v>
      </c>
      <c r="D140" s="14" t="s">
        <v>137</v>
      </c>
      <c r="E140" s="14" t="s">
        <v>117</v>
      </c>
      <c r="F140" s="75">
        <f t="shared" si="6"/>
        <v>4026</v>
      </c>
      <c r="G140" s="14">
        <v>2684</v>
      </c>
      <c r="H140" s="35" t="s">
        <v>432</v>
      </c>
    </row>
    <row r="141" spans="1:8" x14ac:dyDescent="0.2">
      <c r="A141" s="14">
        <v>2013</v>
      </c>
      <c r="B141" s="14" t="s">
        <v>144</v>
      </c>
      <c r="C141" s="14" t="s">
        <v>138</v>
      </c>
      <c r="D141" s="14" t="s">
        <v>293</v>
      </c>
      <c r="E141" s="14" t="s">
        <v>142</v>
      </c>
      <c r="F141" s="75">
        <v>8832</v>
      </c>
      <c r="G141" s="14">
        <v>5888</v>
      </c>
      <c r="H141" s="35" t="s">
        <v>433</v>
      </c>
    </row>
    <row r="142" spans="1:8" x14ac:dyDescent="0.2">
      <c r="A142" s="14">
        <v>2013</v>
      </c>
      <c r="B142" s="14" t="s">
        <v>144</v>
      </c>
      <c r="C142" s="14" t="s">
        <v>140</v>
      </c>
      <c r="D142" s="14" t="s">
        <v>293</v>
      </c>
      <c r="E142" s="14" t="s">
        <v>142</v>
      </c>
      <c r="F142" s="75">
        <v>3547.5</v>
      </c>
      <c r="G142" s="14">
        <v>2365</v>
      </c>
      <c r="H142" s="35" t="s">
        <v>434</v>
      </c>
    </row>
    <row r="143" spans="1:8" x14ac:dyDescent="0.2">
      <c r="A143" s="14">
        <v>2013</v>
      </c>
      <c r="B143" s="14" t="s">
        <v>144</v>
      </c>
      <c r="C143" s="14" t="s">
        <v>138</v>
      </c>
      <c r="D143" s="14" t="s">
        <v>293</v>
      </c>
      <c r="E143" s="14" t="s">
        <v>142</v>
      </c>
      <c r="F143" s="75">
        <v>8832</v>
      </c>
      <c r="G143" s="14">
        <v>5888</v>
      </c>
      <c r="H143" s="35" t="s">
        <v>435</v>
      </c>
    </row>
    <row r="144" spans="1:8" x14ac:dyDescent="0.2">
      <c r="A144" s="14">
        <v>2013</v>
      </c>
      <c r="B144" s="14" t="s">
        <v>144</v>
      </c>
      <c r="C144" s="14" t="s">
        <v>140</v>
      </c>
      <c r="D144" s="14" t="s">
        <v>293</v>
      </c>
      <c r="E144" s="14" t="s">
        <v>142</v>
      </c>
      <c r="F144" s="75">
        <v>3547.5</v>
      </c>
      <c r="G144" s="14">
        <v>2365</v>
      </c>
      <c r="H144" s="35" t="s">
        <v>436</v>
      </c>
    </row>
    <row r="145" spans="1:8" x14ac:dyDescent="0.2">
      <c r="A145" s="14">
        <v>2013</v>
      </c>
      <c r="B145" s="14" t="s">
        <v>144</v>
      </c>
      <c r="C145" s="14" t="s">
        <v>90</v>
      </c>
      <c r="D145" s="14" t="s">
        <v>294</v>
      </c>
      <c r="E145" s="14" t="s">
        <v>115</v>
      </c>
      <c r="F145" s="75">
        <f t="shared" ref="F145:F158" si="7">G145*1.5</f>
        <v>9486</v>
      </c>
      <c r="G145" s="14">
        <v>6324</v>
      </c>
      <c r="H145" s="35" t="s">
        <v>437</v>
      </c>
    </row>
    <row r="146" spans="1:8" x14ac:dyDescent="0.2">
      <c r="A146" s="14">
        <v>2013</v>
      </c>
      <c r="B146" s="14" t="s">
        <v>144</v>
      </c>
      <c r="C146" s="14" t="s">
        <v>143</v>
      </c>
      <c r="D146" s="14" t="s">
        <v>294</v>
      </c>
      <c r="E146" s="14" t="s">
        <v>115</v>
      </c>
      <c r="F146" s="75">
        <f t="shared" si="7"/>
        <v>7342.5</v>
      </c>
      <c r="G146" s="14">
        <v>4895</v>
      </c>
      <c r="H146" s="35" t="s">
        <v>438</v>
      </c>
    </row>
    <row r="147" spans="1:8" x14ac:dyDescent="0.2">
      <c r="A147" s="14">
        <v>2013</v>
      </c>
      <c r="B147" s="14" t="s">
        <v>144</v>
      </c>
      <c r="C147" s="14" t="s">
        <v>90</v>
      </c>
      <c r="D147" s="14" t="s">
        <v>294</v>
      </c>
      <c r="E147" s="14" t="s">
        <v>115</v>
      </c>
      <c r="F147" s="75">
        <f t="shared" si="7"/>
        <v>9486</v>
      </c>
      <c r="G147" s="14">
        <v>6324</v>
      </c>
      <c r="H147" s="35" t="s">
        <v>439</v>
      </c>
    </row>
    <row r="148" spans="1:8" x14ac:dyDescent="0.2">
      <c r="A148" s="14">
        <v>2013</v>
      </c>
      <c r="B148" s="14" t="s">
        <v>144</v>
      </c>
      <c r="C148" s="14" t="s">
        <v>143</v>
      </c>
      <c r="D148" s="14" t="s">
        <v>294</v>
      </c>
      <c r="E148" s="14" t="s">
        <v>115</v>
      </c>
      <c r="F148" s="75">
        <f t="shared" si="7"/>
        <v>7342.5</v>
      </c>
      <c r="G148" s="14">
        <v>4895</v>
      </c>
      <c r="H148" s="35" t="s">
        <v>440</v>
      </c>
    </row>
    <row r="149" spans="1:8" x14ac:dyDescent="0.2">
      <c r="A149" s="14">
        <v>2013</v>
      </c>
      <c r="B149" s="14" t="s">
        <v>144</v>
      </c>
      <c r="C149" s="14" t="s">
        <v>140</v>
      </c>
      <c r="D149" s="14" t="s">
        <v>139</v>
      </c>
      <c r="E149" s="14" t="s">
        <v>118</v>
      </c>
      <c r="F149" s="75">
        <f t="shared" si="7"/>
        <v>3547.5</v>
      </c>
      <c r="G149" s="14">
        <v>2365</v>
      </c>
      <c r="H149" s="35" t="s">
        <v>441</v>
      </c>
    </row>
    <row r="150" spans="1:8" x14ac:dyDescent="0.2">
      <c r="A150" s="14">
        <v>2013</v>
      </c>
      <c r="B150" s="14" t="s">
        <v>144</v>
      </c>
      <c r="C150" s="14" t="s">
        <v>90</v>
      </c>
      <c r="D150" s="14" t="s">
        <v>139</v>
      </c>
      <c r="E150" s="14" t="s">
        <v>118</v>
      </c>
      <c r="F150" s="75">
        <f t="shared" si="7"/>
        <v>3238.5</v>
      </c>
      <c r="G150" s="14">
        <v>2159</v>
      </c>
      <c r="H150" s="35" t="s">
        <v>442</v>
      </c>
    </row>
    <row r="151" spans="1:8" x14ac:dyDescent="0.2">
      <c r="A151" s="14">
        <v>2013</v>
      </c>
      <c r="B151" s="14" t="s">
        <v>144</v>
      </c>
      <c r="C151" s="14" t="s">
        <v>140</v>
      </c>
      <c r="D151" s="14" t="s">
        <v>139</v>
      </c>
      <c r="E151" s="14" t="s">
        <v>118</v>
      </c>
      <c r="F151" s="75">
        <f t="shared" si="7"/>
        <v>3547.5</v>
      </c>
      <c r="G151" s="14">
        <v>2365</v>
      </c>
      <c r="H151" s="35" t="s">
        <v>443</v>
      </c>
    </row>
    <row r="152" spans="1:8" x14ac:dyDescent="0.2">
      <c r="A152" s="14">
        <v>2013</v>
      </c>
      <c r="B152" s="14" t="s">
        <v>144</v>
      </c>
      <c r="C152" s="14" t="s">
        <v>90</v>
      </c>
      <c r="D152" s="14" t="s">
        <v>139</v>
      </c>
      <c r="E152" s="14" t="s">
        <v>118</v>
      </c>
      <c r="F152" s="75">
        <f t="shared" si="7"/>
        <v>3238.5</v>
      </c>
      <c r="G152" s="14">
        <v>2159</v>
      </c>
      <c r="H152" s="35" t="s">
        <v>444</v>
      </c>
    </row>
    <row r="153" spans="1:8" x14ac:dyDescent="0.2">
      <c r="A153" s="14">
        <v>2014</v>
      </c>
      <c r="B153" s="14" t="s">
        <v>84</v>
      </c>
      <c r="C153" s="14" t="s">
        <v>90</v>
      </c>
      <c r="D153" s="14" t="s">
        <v>137</v>
      </c>
      <c r="E153" s="14" t="s">
        <v>117</v>
      </c>
      <c r="F153" s="75">
        <f t="shared" si="7"/>
        <v>2395.5</v>
      </c>
      <c r="G153" s="14">
        <v>1597</v>
      </c>
      <c r="H153" s="35" t="s">
        <v>445</v>
      </c>
    </row>
    <row r="154" spans="1:8" x14ac:dyDescent="0.2">
      <c r="A154" s="14">
        <v>2014</v>
      </c>
      <c r="B154" s="14" t="s">
        <v>84</v>
      </c>
      <c r="C154" s="14" t="s">
        <v>90</v>
      </c>
      <c r="D154" s="14" t="s">
        <v>137</v>
      </c>
      <c r="E154" s="14" t="s">
        <v>117</v>
      </c>
      <c r="F154" s="75">
        <f t="shared" si="7"/>
        <v>11761.5</v>
      </c>
      <c r="G154" s="14">
        <v>7841</v>
      </c>
      <c r="H154" s="35" t="s">
        <v>446</v>
      </c>
    </row>
    <row r="155" spans="1:8" x14ac:dyDescent="0.2">
      <c r="A155" s="14">
        <v>2014</v>
      </c>
      <c r="B155" s="14" t="s">
        <v>84</v>
      </c>
      <c r="C155" s="14" t="s">
        <v>138</v>
      </c>
      <c r="D155" s="14" t="s">
        <v>137</v>
      </c>
      <c r="E155" s="14" t="s">
        <v>117</v>
      </c>
      <c r="F155" s="75">
        <f t="shared" si="7"/>
        <v>8943</v>
      </c>
      <c r="G155" s="14">
        <v>5962</v>
      </c>
      <c r="H155" s="35" t="s">
        <v>447</v>
      </c>
    </row>
    <row r="156" spans="1:8" x14ac:dyDescent="0.2">
      <c r="A156" s="14">
        <v>2014</v>
      </c>
      <c r="B156" s="14" t="s">
        <v>84</v>
      </c>
      <c r="C156" s="14" t="s">
        <v>90</v>
      </c>
      <c r="D156" s="14" t="s">
        <v>137</v>
      </c>
      <c r="E156" s="14" t="s">
        <v>117</v>
      </c>
      <c r="F156" s="75">
        <f t="shared" si="7"/>
        <v>2395.5</v>
      </c>
      <c r="G156" s="14">
        <v>1597</v>
      </c>
      <c r="H156" s="35" t="s">
        <v>448</v>
      </c>
    </row>
    <row r="157" spans="1:8" x14ac:dyDescent="0.2">
      <c r="A157" s="14">
        <v>2014</v>
      </c>
      <c r="B157" s="14" t="s">
        <v>84</v>
      </c>
      <c r="C157" s="14" t="s">
        <v>90</v>
      </c>
      <c r="D157" s="14" t="s">
        <v>137</v>
      </c>
      <c r="E157" s="14" t="s">
        <v>117</v>
      </c>
      <c r="F157" s="75">
        <f t="shared" si="7"/>
        <v>11761.5</v>
      </c>
      <c r="G157" s="14">
        <v>7841</v>
      </c>
      <c r="H157" s="35" t="s">
        <v>449</v>
      </c>
    </row>
    <row r="158" spans="1:8" x14ac:dyDescent="0.2">
      <c r="A158" s="14">
        <v>2014</v>
      </c>
      <c r="B158" s="14" t="s">
        <v>84</v>
      </c>
      <c r="C158" s="14" t="s">
        <v>138</v>
      </c>
      <c r="D158" s="14" t="s">
        <v>137</v>
      </c>
      <c r="E158" s="14" t="s">
        <v>117</v>
      </c>
      <c r="F158" s="75">
        <f t="shared" si="7"/>
        <v>8943</v>
      </c>
      <c r="G158" s="14">
        <v>5962</v>
      </c>
      <c r="H158" s="35" t="s">
        <v>450</v>
      </c>
    </row>
    <row r="159" spans="1:8" x14ac:dyDescent="0.2">
      <c r="A159" s="14">
        <v>2014</v>
      </c>
      <c r="B159" s="14" t="s">
        <v>84</v>
      </c>
      <c r="C159" s="14" t="s">
        <v>138</v>
      </c>
      <c r="D159" s="14" t="s">
        <v>293</v>
      </c>
      <c r="E159" s="14" t="s">
        <v>142</v>
      </c>
      <c r="F159" s="75">
        <v>14596.5</v>
      </c>
      <c r="G159" s="14">
        <v>9731</v>
      </c>
      <c r="H159" s="35" t="s">
        <v>451</v>
      </c>
    </row>
    <row r="160" spans="1:8" x14ac:dyDescent="0.2">
      <c r="A160" s="14">
        <v>2014</v>
      </c>
      <c r="B160" s="14" t="s">
        <v>84</v>
      </c>
      <c r="C160" s="14" t="s">
        <v>140</v>
      </c>
      <c r="D160" s="14" t="s">
        <v>293</v>
      </c>
      <c r="E160" s="14" t="s">
        <v>142</v>
      </c>
      <c r="F160" s="75">
        <v>8793</v>
      </c>
      <c r="G160" s="14">
        <v>5862</v>
      </c>
      <c r="H160" s="35" t="s">
        <v>452</v>
      </c>
    </row>
    <row r="161" spans="1:8" x14ac:dyDescent="0.2">
      <c r="A161" s="14">
        <v>2014</v>
      </c>
      <c r="B161" s="14" t="s">
        <v>84</v>
      </c>
      <c r="C161" s="14" t="s">
        <v>138</v>
      </c>
      <c r="D161" s="14" t="s">
        <v>293</v>
      </c>
      <c r="E161" s="14" t="s">
        <v>142</v>
      </c>
      <c r="F161" s="75">
        <v>14596.5</v>
      </c>
      <c r="G161" s="14">
        <v>9731</v>
      </c>
      <c r="H161" s="35" t="s">
        <v>453</v>
      </c>
    </row>
    <row r="162" spans="1:8" x14ac:dyDescent="0.2">
      <c r="A162" s="14">
        <v>2014</v>
      </c>
      <c r="B162" s="14" t="s">
        <v>84</v>
      </c>
      <c r="C162" s="14" t="s">
        <v>140</v>
      </c>
      <c r="D162" s="14" t="s">
        <v>293</v>
      </c>
      <c r="E162" s="14" t="s">
        <v>142</v>
      </c>
      <c r="F162" s="75">
        <v>8793</v>
      </c>
      <c r="G162" s="14">
        <v>5862</v>
      </c>
      <c r="H162" s="35" t="s">
        <v>454</v>
      </c>
    </row>
    <row r="163" spans="1:8" x14ac:dyDescent="0.2">
      <c r="A163" s="14">
        <v>2014</v>
      </c>
      <c r="B163" s="14" t="s">
        <v>84</v>
      </c>
      <c r="C163" s="14" t="s">
        <v>90</v>
      </c>
      <c r="D163" s="14" t="s">
        <v>294</v>
      </c>
      <c r="E163" s="14" t="s">
        <v>115</v>
      </c>
      <c r="F163" s="75">
        <v>4666</v>
      </c>
      <c r="G163" s="14">
        <v>5623</v>
      </c>
      <c r="H163" s="35" t="s">
        <v>455</v>
      </c>
    </row>
    <row r="164" spans="1:8" x14ac:dyDescent="0.2">
      <c r="A164" s="14">
        <v>2014</v>
      </c>
      <c r="B164" s="14" t="s">
        <v>84</v>
      </c>
      <c r="C164" s="14" t="s">
        <v>90</v>
      </c>
      <c r="D164" s="14" t="s">
        <v>294</v>
      </c>
      <c r="E164" s="14" t="s">
        <v>115</v>
      </c>
      <c r="F164" s="75">
        <f>G164*1.5</f>
        <v>7318.5</v>
      </c>
      <c r="G164" s="14">
        <v>4879</v>
      </c>
      <c r="H164" s="35" t="s">
        <v>456</v>
      </c>
    </row>
    <row r="165" spans="1:8" x14ac:dyDescent="0.2">
      <c r="A165" s="14">
        <v>2014</v>
      </c>
      <c r="B165" s="14" t="s">
        <v>84</v>
      </c>
      <c r="C165" s="14" t="s">
        <v>90</v>
      </c>
      <c r="D165" s="14" t="s">
        <v>294</v>
      </c>
      <c r="E165" s="14" t="s">
        <v>115</v>
      </c>
      <c r="F165" s="75">
        <v>4666</v>
      </c>
      <c r="G165" s="14">
        <v>5623</v>
      </c>
      <c r="H165" s="35" t="s">
        <v>457</v>
      </c>
    </row>
    <row r="166" spans="1:8" x14ac:dyDescent="0.2">
      <c r="A166" s="14">
        <v>2014</v>
      </c>
      <c r="B166" s="14" t="s">
        <v>84</v>
      </c>
      <c r="C166" s="14" t="s">
        <v>90</v>
      </c>
      <c r="D166" s="14" t="s">
        <v>294</v>
      </c>
      <c r="E166" s="14" t="s">
        <v>115</v>
      </c>
      <c r="F166" s="75">
        <f t="shared" ref="F166:F174" si="8">G166*1.5</f>
        <v>7318.5</v>
      </c>
      <c r="G166" s="14">
        <v>4879</v>
      </c>
      <c r="H166" s="35" t="s">
        <v>458</v>
      </c>
    </row>
    <row r="167" spans="1:8" x14ac:dyDescent="0.2">
      <c r="A167" s="14">
        <v>2014</v>
      </c>
      <c r="B167" s="14" t="s">
        <v>84</v>
      </c>
      <c r="C167" s="14" t="s">
        <v>143</v>
      </c>
      <c r="D167" s="14" t="s">
        <v>139</v>
      </c>
      <c r="E167" s="14" t="s">
        <v>118</v>
      </c>
      <c r="F167" s="75">
        <f t="shared" si="8"/>
        <v>3553.5</v>
      </c>
      <c r="G167" s="14">
        <v>2369</v>
      </c>
      <c r="H167" s="35" t="s">
        <v>459</v>
      </c>
    </row>
    <row r="168" spans="1:8" x14ac:dyDescent="0.2">
      <c r="A168" s="14">
        <v>2014</v>
      </c>
      <c r="B168" s="14" t="s">
        <v>84</v>
      </c>
      <c r="C168" s="14" t="s">
        <v>143</v>
      </c>
      <c r="D168" s="14" t="s">
        <v>139</v>
      </c>
      <c r="E168" s="14" t="s">
        <v>118</v>
      </c>
      <c r="F168" s="75">
        <f t="shared" si="8"/>
        <v>3553.5</v>
      </c>
      <c r="G168" s="14">
        <v>2369</v>
      </c>
      <c r="H168" s="35" t="s">
        <v>460</v>
      </c>
    </row>
    <row r="169" spans="1:8" x14ac:dyDescent="0.2">
      <c r="A169" s="14">
        <v>2014</v>
      </c>
      <c r="B169" s="14" t="s">
        <v>84</v>
      </c>
      <c r="C169" s="14" t="s">
        <v>138</v>
      </c>
      <c r="D169" s="14" t="s">
        <v>141</v>
      </c>
      <c r="E169" s="14" t="s">
        <v>142</v>
      </c>
      <c r="F169" s="75">
        <f t="shared" si="8"/>
        <v>14596.5</v>
      </c>
      <c r="G169" s="14">
        <v>9731</v>
      </c>
      <c r="H169" s="35" t="s">
        <v>461</v>
      </c>
    </row>
    <row r="170" spans="1:8" x14ac:dyDescent="0.2">
      <c r="A170" s="14">
        <v>2014</v>
      </c>
      <c r="B170" s="14" t="s">
        <v>84</v>
      </c>
      <c r="C170" s="14" t="s">
        <v>140</v>
      </c>
      <c r="D170" s="14" t="s">
        <v>141</v>
      </c>
      <c r="E170" s="14" t="s">
        <v>142</v>
      </c>
      <c r="F170" s="75">
        <f t="shared" si="8"/>
        <v>8793</v>
      </c>
      <c r="G170" s="14">
        <v>5862</v>
      </c>
      <c r="H170" s="35" t="s">
        <v>462</v>
      </c>
    </row>
    <row r="171" spans="1:8" x14ac:dyDescent="0.2">
      <c r="A171" s="14">
        <v>2014</v>
      </c>
      <c r="B171" s="14" t="s">
        <v>84</v>
      </c>
      <c r="C171" s="14" t="s">
        <v>138</v>
      </c>
      <c r="D171" s="14" t="s">
        <v>141</v>
      </c>
      <c r="E171" s="14" t="s">
        <v>142</v>
      </c>
      <c r="F171" s="75">
        <f t="shared" si="8"/>
        <v>14596.5</v>
      </c>
      <c r="G171" s="14">
        <v>9731</v>
      </c>
      <c r="H171" s="35" t="s">
        <v>463</v>
      </c>
    </row>
    <row r="172" spans="1:8" x14ac:dyDescent="0.2">
      <c r="A172" s="14">
        <v>2014</v>
      </c>
      <c r="B172" s="14" t="s">
        <v>84</v>
      </c>
      <c r="C172" s="14" t="s">
        <v>140</v>
      </c>
      <c r="D172" s="14" t="s">
        <v>141</v>
      </c>
      <c r="E172" s="14" t="s">
        <v>142</v>
      </c>
      <c r="F172" s="75">
        <f t="shared" si="8"/>
        <v>8793</v>
      </c>
      <c r="G172" s="14">
        <v>5862</v>
      </c>
      <c r="H172" s="35" t="s">
        <v>464</v>
      </c>
    </row>
    <row r="173" spans="1:8" x14ac:dyDescent="0.2">
      <c r="A173" s="14">
        <v>2014</v>
      </c>
      <c r="B173" s="14" t="s">
        <v>83</v>
      </c>
      <c r="C173" s="14" t="s">
        <v>90</v>
      </c>
      <c r="D173" s="14" t="s">
        <v>137</v>
      </c>
      <c r="E173" s="14" t="s">
        <v>117</v>
      </c>
      <c r="F173" s="75">
        <f t="shared" si="8"/>
        <v>4887</v>
      </c>
      <c r="G173" s="14">
        <v>3258</v>
      </c>
      <c r="H173" s="35" t="s">
        <v>465</v>
      </c>
    </row>
    <row r="174" spans="1:8" x14ac:dyDescent="0.2">
      <c r="A174" s="14">
        <v>2014</v>
      </c>
      <c r="B174" s="14" t="s">
        <v>83</v>
      </c>
      <c r="C174" s="14" t="s">
        <v>90</v>
      </c>
      <c r="D174" s="14" t="s">
        <v>137</v>
      </c>
      <c r="E174" s="14" t="s">
        <v>117</v>
      </c>
      <c r="F174" s="75">
        <f t="shared" si="8"/>
        <v>4887</v>
      </c>
      <c r="G174" s="14">
        <v>3258</v>
      </c>
      <c r="H174" s="35" t="s">
        <v>466</v>
      </c>
    </row>
    <row r="175" spans="1:8" x14ac:dyDescent="0.2">
      <c r="A175" s="14">
        <v>2014</v>
      </c>
      <c r="B175" s="14" t="s">
        <v>83</v>
      </c>
      <c r="C175" s="14" t="s">
        <v>140</v>
      </c>
      <c r="D175" s="14" t="s">
        <v>293</v>
      </c>
      <c r="E175" s="14" t="s">
        <v>142</v>
      </c>
      <c r="F175" s="75">
        <v>11122.5</v>
      </c>
      <c r="G175" s="14">
        <v>7415</v>
      </c>
      <c r="H175" s="35" t="s">
        <v>467</v>
      </c>
    </row>
    <row r="176" spans="1:8" x14ac:dyDescent="0.2">
      <c r="A176" s="14">
        <v>2014</v>
      </c>
      <c r="B176" s="14" t="s">
        <v>83</v>
      </c>
      <c r="C176" s="14" t="s">
        <v>90</v>
      </c>
      <c r="D176" s="14" t="s">
        <v>293</v>
      </c>
      <c r="E176" s="14" t="s">
        <v>142</v>
      </c>
      <c r="F176" s="75">
        <v>13428</v>
      </c>
      <c r="G176" s="14">
        <v>8952</v>
      </c>
      <c r="H176" s="35" t="s">
        <v>468</v>
      </c>
    </row>
    <row r="177" spans="1:8" x14ac:dyDescent="0.2">
      <c r="A177" s="14">
        <v>2014</v>
      </c>
      <c r="B177" s="14" t="s">
        <v>83</v>
      </c>
      <c r="C177" s="14" t="s">
        <v>140</v>
      </c>
      <c r="D177" s="14" t="s">
        <v>293</v>
      </c>
      <c r="E177" s="14" t="s">
        <v>142</v>
      </c>
      <c r="F177" s="75">
        <v>11122.5</v>
      </c>
      <c r="G177" s="14">
        <v>7415</v>
      </c>
      <c r="H177" s="35" t="s">
        <v>469</v>
      </c>
    </row>
    <row r="178" spans="1:8" x14ac:dyDescent="0.2">
      <c r="A178" s="14">
        <v>2014</v>
      </c>
      <c r="B178" s="14" t="s">
        <v>83</v>
      </c>
      <c r="C178" s="14" t="s">
        <v>90</v>
      </c>
      <c r="D178" s="14" t="s">
        <v>293</v>
      </c>
      <c r="E178" s="14" t="s">
        <v>142</v>
      </c>
      <c r="F178" s="75">
        <v>13428</v>
      </c>
      <c r="G178" s="14">
        <v>8952</v>
      </c>
      <c r="H178" s="35" t="s">
        <v>470</v>
      </c>
    </row>
    <row r="179" spans="1:8" x14ac:dyDescent="0.2">
      <c r="A179" s="14">
        <v>2014</v>
      </c>
      <c r="B179" s="14" t="s">
        <v>83</v>
      </c>
      <c r="C179" s="14" t="s">
        <v>138</v>
      </c>
      <c r="D179" s="14" t="s">
        <v>294</v>
      </c>
      <c r="E179" s="14" t="s">
        <v>115</v>
      </c>
      <c r="F179" s="75">
        <v>3897</v>
      </c>
      <c r="G179" s="14">
        <v>2598</v>
      </c>
      <c r="H179" s="35" t="s">
        <v>471</v>
      </c>
    </row>
    <row r="180" spans="1:8" x14ac:dyDescent="0.2">
      <c r="A180" s="14">
        <v>2014</v>
      </c>
      <c r="B180" s="14" t="s">
        <v>83</v>
      </c>
      <c r="C180" s="14" t="s">
        <v>138</v>
      </c>
      <c r="D180" s="14" t="s">
        <v>294</v>
      </c>
      <c r="E180" s="14" t="s">
        <v>115</v>
      </c>
      <c r="F180" s="75">
        <v>8832</v>
      </c>
      <c r="G180" s="14">
        <v>5888</v>
      </c>
      <c r="H180" s="35" t="s">
        <v>472</v>
      </c>
    </row>
    <row r="181" spans="1:8" x14ac:dyDescent="0.2">
      <c r="A181" s="14">
        <v>2014</v>
      </c>
      <c r="B181" s="14" t="s">
        <v>83</v>
      </c>
      <c r="C181" s="14" t="s">
        <v>138</v>
      </c>
      <c r="D181" s="14" t="s">
        <v>294</v>
      </c>
      <c r="E181" s="14" t="s">
        <v>115</v>
      </c>
      <c r="F181" s="75">
        <v>3897</v>
      </c>
      <c r="G181" s="14">
        <v>2598</v>
      </c>
      <c r="H181" s="35" t="s">
        <v>473</v>
      </c>
    </row>
    <row r="182" spans="1:8" x14ac:dyDescent="0.2">
      <c r="A182" s="14">
        <v>2014</v>
      </c>
      <c r="B182" s="14" t="s">
        <v>83</v>
      </c>
      <c r="C182" s="14" t="s">
        <v>138</v>
      </c>
      <c r="D182" s="14" t="s">
        <v>294</v>
      </c>
      <c r="E182" s="14" t="s">
        <v>115</v>
      </c>
      <c r="F182" s="75">
        <v>8832</v>
      </c>
      <c r="G182" s="14">
        <v>5888</v>
      </c>
      <c r="H182" s="35" t="s">
        <v>474</v>
      </c>
    </row>
    <row r="183" spans="1:8" x14ac:dyDescent="0.2">
      <c r="A183" s="14">
        <v>2014</v>
      </c>
      <c r="B183" s="14" t="s">
        <v>83</v>
      </c>
      <c r="C183" s="14" t="s">
        <v>140</v>
      </c>
      <c r="D183" s="14" t="s">
        <v>139</v>
      </c>
      <c r="E183" s="14" t="s">
        <v>118</v>
      </c>
      <c r="F183" s="75">
        <f t="shared" ref="F183:F194" si="9">G183*1.5</f>
        <v>11122.5</v>
      </c>
      <c r="G183" s="14">
        <v>7415</v>
      </c>
      <c r="H183" s="35" t="s">
        <v>475</v>
      </c>
    </row>
    <row r="184" spans="1:8" x14ac:dyDescent="0.2">
      <c r="A184" s="14">
        <v>2014</v>
      </c>
      <c r="B184" s="14" t="s">
        <v>83</v>
      </c>
      <c r="C184" s="14" t="s">
        <v>138</v>
      </c>
      <c r="D184" s="14" t="s">
        <v>139</v>
      </c>
      <c r="E184" s="14" t="s">
        <v>118</v>
      </c>
      <c r="F184" s="75">
        <f t="shared" si="9"/>
        <v>14647.5</v>
      </c>
      <c r="G184" s="14">
        <v>9765</v>
      </c>
      <c r="H184" s="35" t="s">
        <v>476</v>
      </c>
    </row>
    <row r="185" spans="1:8" x14ac:dyDescent="0.2">
      <c r="A185" s="14">
        <v>2014</v>
      </c>
      <c r="B185" s="14" t="s">
        <v>83</v>
      </c>
      <c r="C185" s="14" t="s">
        <v>140</v>
      </c>
      <c r="D185" s="14" t="s">
        <v>139</v>
      </c>
      <c r="E185" s="14" t="s">
        <v>118</v>
      </c>
      <c r="F185" s="75">
        <f t="shared" si="9"/>
        <v>11122.5</v>
      </c>
      <c r="G185" s="14">
        <v>7415</v>
      </c>
      <c r="H185" s="35" t="s">
        <v>477</v>
      </c>
    </row>
    <row r="186" spans="1:8" x14ac:dyDescent="0.2">
      <c r="A186" s="14">
        <v>2014</v>
      </c>
      <c r="B186" s="14" t="s">
        <v>83</v>
      </c>
      <c r="C186" s="14" t="s">
        <v>138</v>
      </c>
      <c r="D186" s="14" t="s">
        <v>139</v>
      </c>
      <c r="E186" s="14" t="s">
        <v>118</v>
      </c>
      <c r="F186" s="75">
        <f t="shared" si="9"/>
        <v>14647.5</v>
      </c>
      <c r="G186" s="14">
        <v>9765</v>
      </c>
      <c r="H186" s="35" t="s">
        <v>478</v>
      </c>
    </row>
    <row r="187" spans="1:8" x14ac:dyDescent="0.2">
      <c r="A187" s="14">
        <v>2014</v>
      </c>
      <c r="B187" s="14" t="s">
        <v>83</v>
      </c>
      <c r="C187" s="14" t="s">
        <v>90</v>
      </c>
      <c r="D187" s="14" t="s">
        <v>141</v>
      </c>
      <c r="E187" s="14" t="s">
        <v>142</v>
      </c>
      <c r="F187" s="75">
        <f t="shared" si="9"/>
        <v>13428</v>
      </c>
      <c r="G187" s="14">
        <v>8952</v>
      </c>
      <c r="H187" s="35" t="s">
        <v>479</v>
      </c>
    </row>
    <row r="188" spans="1:8" x14ac:dyDescent="0.2">
      <c r="A188" s="14">
        <v>2014</v>
      </c>
      <c r="B188" s="14" t="s">
        <v>83</v>
      </c>
      <c r="C188" s="14" t="s">
        <v>143</v>
      </c>
      <c r="D188" s="14" t="s">
        <v>141</v>
      </c>
      <c r="E188" s="14" t="s">
        <v>142</v>
      </c>
      <c r="F188" s="75">
        <f t="shared" si="9"/>
        <v>7480.5</v>
      </c>
      <c r="G188" s="14">
        <v>4987</v>
      </c>
      <c r="H188" s="35" t="s">
        <v>480</v>
      </c>
    </row>
    <row r="189" spans="1:8" x14ac:dyDescent="0.2">
      <c r="A189" s="14">
        <v>2014</v>
      </c>
      <c r="B189" s="14" t="s">
        <v>83</v>
      </c>
      <c r="C189" s="14" t="s">
        <v>90</v>
      </c>
      <c r="D189" s="14" t="s">
        <v>141</v>
      </c>
      <c r="E189" s="14" t="s">
        <v>142</v>
      </c>
      <c r="F189" s="75">
        <f t="shared" si="9"/>
        <v>13428</v>
      </c>
      <c r="G189" s="14">
        <v>8952</v>
      </c>
      <c r="H189" s="35" t="s">
        <v>481</v>
      </c>
    </row>
    <row r="190" spans="1:8" x14ac:dyDescent="0.2">
      <c r="A190" s="14">
        <v>2014</v>
      </c>
      <c r="B190" s="14" t="s">
        <v>83</v>
      </c>
      <c r="C190" s="14" t="s">
        <v>143</v>
      </c>
      <c r="D190" s="14" t="s">
        <v>141</v>
      </c>
      <c r="E190" s="14" t="s">
        <v>142</v>
      </c>
      <c r="F190" s="75">
        <f t="shared" si="9"/>
        <v>7480.5</v>
      </c>
      <c r="G190" s="14">
        <v>4987</v>
      </c>
      <c r="H190" s="35" t="s">
        <v>482</v>
      </c>
    </row>
    <row r="191" spans="1:8" x14ac:dyDescent="0.2">
      <c r="A191" s="14">
        <v>2014</v>
      </c>
      <c r="B191" s="14" t="s">
        <v>87</v>
      </c>
      <c r="C191" s="14" t="s">
        <v>140</v>
      </c>
      <c r="D191" s="14" t="s">
        <v>137</v>
      </c>
      <c r="E191" s="14" t="s">
        <v>117</v>
      </c>
      <c r="F191" s="75">
        <f t="shared" si="9"/>
        <v>14619</v>
      </c>
      <c r="G191" s="14">
        <v>9746</v>
      </c>
      <c r="H191" s="35" t="s">
        <v>483</v>
      </c>
    </row>
    <row r="192" spans="1:8" x14ac:dyDescent="0.2">
      <c r="A192" s="14">
        <v>2014</v>
      </c>
      <c r="B192" s="14" t="s">
        <v>87</v>
      </c>
      <c r="C192" s="14" t="s">
        <v>90</v>
      </c>
      <c r="D192" s="14" t="s">
        <v>137</v>
      </c>
      <c r="E192" s="14" t="s">
        <v>117</v>
      </c>
      <c r="F192" s="75">
        <f t="shared" si="9"/>
        <v>867</v>
      </c>
      <c r="G192" s="14">
        <v>578</v>
      </c>
      <c r="H192" s="35" t="s">
        <v>484</v>
      </c>
    </row>
    <row r="193" spans="1:8" x14ac:dyDescent="0.2">
      <c r="A193" s="14">
        <v>2014</v>
      </c>
      <c r="B193" s="14" t="s">
        <v>87</v>
      </c>
      <c r="C193" s="14" t="s">
        <v>140</v>
      </c>
      <c r="D193" s="14" t="s">
        <v>137</v>
      </c>
      <c r="E193" s="14" t="s">
        <v>117</v>
      </c>
      <c r="F193" s="75">
        <f t="shared" si="9"/>
        <v>14619</v>
      </c>
      <c r="G193" s="14">
        <v>9746</v>
      </c>
      <c r="H193" s="35" t="s">
        <v>485</v>
      </c>
    </row>
    <row r="194" spans="1:8" x14ac:dyDescent="0.2">
      <c r="A194" s="14">
        <v>2014</v>
      </c>
      <c r="B194" s="14" t="s">
        <v>87</v>
      </c>
      <c r="C194" s="14" t="s">
        <v>90</v>
      </c>
      <c r="D194" s="14" t="s">
        <v>137</v>
      </c>
      <c r="E194" s="14" t="s">
        <v>117</v>
      </c>
      <c r="F194" s="75">
        <f t="shared" si="9"/>
        <v>867</v>
      </c>
      <c r="G194" s="14">
        <v>578</v>
      </c>
      <c r="H194" s="35" t="s">
        <v>486</v>
      </c>
    </row>
    <row r="195" spans="1:8" x14ac:dyDescent="0.2">
      <c r="A195" s="14">
        <v>2014</v>
      </c>
      <c r="B195" s="14" t="s">
        <v>87</v>
      </c>
      <c r="C195" s="14" t="s">
        <v>140</v>
      </c>
      <c r="D195" s="14" t="s">
        <v>293</v>
      </c>
      <c r="E195" s="14" t="s">
        <v>142</v>
      </c>
      <c r="F195" s="75">
        <v>14619</v>
      </c>
      <c r="G195" s="14">
        <v>9746</v>
      </c>
      <c r="H195" s="35" t="s">
        <v>487</v>
      </c>
    </row>
    <row r="196" spans="1:8" x14ac:dyDescent="0.2">
      <c r="A196" s="14">
        <v>2014</v>
      </c>
      <c r="B196" s="14" t="s">
        <v>87</v>
      </c>
      <c r="C196" s="14" t="s">
        <v>90</v>
      </c>
      <c r="D196" s="14" t="s">
        <v>293</v>
      </c>
      <c r="E196" s="14" t="s">
        <v>142</v>
      </c>
      <c r="F196" s="75">
        <v>5380.5</v>
      </c>
      <c r="G196" s="14">
        <v>3587</v>
      </c>
      <c r="H196" s="35" t="s">
        <v>488</v>
      </c>
    </row>
    <row r="197" spans="1:8" x14ac:dyDescent="0.2">
      <c r="A197" s="14">
        <v>2014</v>
      </c>
      <c r="B197" s="14" t="s">
        <v>87</v>
      </c>
      <c r="C197" s="14" t="s">
        <v>140</v>
      </c>
      <c r="D197" s="14" t="s">
        <v>293</v>
      </c>
      <c r="E197" s="14" t="s">
        <v>142</v>
      </c>
      <c r="F197" s="75">
        <v>14619</v>
      </c>
      <c r="G197" s="14">
        <v>9746</v>
      </c>
      <c r="H197" s="35" t="s">
        <v>489</v>
      </c>
    </row>
    <row r="198" spans="1:8" x14ac:dyDescent="0.2">
      <c r="A198" s="14">
        <v>2014</v>
      </c>
      <c r="B198" s="14" t="s">
        <v>87</v>
      </c>
      <c r="C198" s="14" t="s">
        <v>90</v>
      </c>
      <c r="D198" s="14" t="s">
        <v>293</v>
      </c>
      <c r="E198" s="14" t="s">
        <v>142</v>
      </c>
      <c r="F198" s="75">
        <v>5380.5</v>
      </c>
      <c r="G198" s="14">
        <v>3587</v>
      </c>
      <c r="H198" s="35" t="s">
        <v>490</v>
      </c>
    </row>
    <row r="199" spans="1:8" x14ac:dyDescent="0.2">
      <c r="A199" s="14">
        <v>2014</v>
      </c>
      <c r="B199" s="14" t="s">
        <v>87</v>
      </c>
      <c r="C199" s="14" t="s">
        <v>140</v>
      </c>
      <c r="D199" s="14" t="s">
        <v>294</v>
      </c>
      <c r="E199" s="14" t="s">
        <v>115</v>
      </c>
      <c r="F199" s="75">
        <v>3547.5</v>
      </c>
      <c r="G199" s="14">
        <v>2365</v>
      </c>
      <c r="H199" s="35" t="s">
        <v>491</v>
      </c>
    </row>
    <row r="200" spans="1:8" x14ac:dyDescent="0.2">
      <c r="A200" s="14">
        <v>2014</v>
      </c>
      <c r="B200" s="14" t="s">
        <v>87</v>
      </c>
      <c r="C200" s="14" t="s">
        <v>138</v>
      </c>
      <c r="D200" s="14" t="s">
        <v>294</v>
      </c>
      <c r="E200" s="14" t="s">
        <v>115</v>
      </c>
      <c r="F200" s="75">
        <v>14596.5</v>
      </c>
      <c r="G200" s="14">
        <v>9731</v>
      </c>
      <c r="H200" s="35" t="s">
        <v>492</v>
      </c>
    </row>
    <row r="201" spans="1:8" x14ac:dyDescent="0.2">
      <c r="A201" s="14">
        <v>2014</v>
      </c>
      <c r="B201" s="14" t="s">
        <v>87</v>
      </c>
      <c r="C201" s="14" t="s">
        <v>140</v>
      </c>
      <c r="D201" s="14" t="s">
        <v>294</v>
      </c>
      <c r="E201" s="14" t="s">
        <v>115</v>
      </c>
      <c r="F201" s="75">
        <v>3547.5</v>
      </c>
      <c r="G201" s="14">
        <v>2365</v>
      </c>
      <c r="H201" s="35" t="s">
        <v>493</v>
      </c>
    </row>
    <row r="202" spans="1:8" x14ac:dyDescent="0.2">
      <c r="A202" s="14">
        <v>2014</v>
      </c>
      <c r="B202" s="14" t="s">
        <v>87</v>
      </c>
      <c r="C202" s="14" t="s">
        <v>138</v>
      </c>
      <c r="D202" s="14" t="s">
        <v>294</v>
      </c>
      <c r="E202" s="14" t="s">
        <v>115</v>
      </c>
      <c r="F202" s="75">
        <v>14596.5</v>
      </c>
      <c r="G202" s="14">
        <v>9731</v>
      </c>
      <c r="H202" s="35" t="s">
        <v>494</v>
      </c>
    </row>
    <row r="203" spans="1:8" x14ac:dyDescent="0.2">
      <c r="A203" s="14">
        <v>2014</v>
      </c>
      <c r="B203" s="14" t="s">
        <v>87</v>
      </c>
      <c r="C203" s="14" t="s">
        <v>138</v>
      </c>
      <c r="D203" s="14" t="s">
        <v>139</v>
      </c>
      <c r="E203" s="14" t="s">
        <v>118</v>
      </c>
      <c r="F203" s="75">
        <f t="shared" ref="F203:F214" si="10">G203*1.5</f>
        <v>1498.5</v>
      </c>
      <c r="G203" s="14">
        <v>999</v>
      </c>
      <c r="H203" s="35" t="s">
        <v>495</v>
      </c>
    </row>
    <row r="204" spans="1:8" x14ac:dyDescent="0.2">
      <c r="A204" s="14">
        <v>2014</v>
      </c>
      <c r="B204" s="14" t="s">
        <v>87</v>
      </c>
      <c r="C204" s="14" t="s">
        <v>140</v>
      </c>
      <c r="D204" s="14" t="s">
        <v>139</v>
      </c>
      <c r="E204" s="14" t="s">
        <v>118</v>
      </c>
      <c r="F204" s="75">
        <f t="shared" si="10"/>
        <v>235.5</v>
      </c>
      <c r="G204" s="14">
        <v>157</v>
      </c>
      <c r="H204" s="35" t="s">
        <v>496</v>
      </c>
    </row>
    <row r="205" spans="1:8" x14ac:dyDescent="0.2">
      <c r="A205" s="14">
        <v>2014</v>
      </c>
      <c r="B205" s="14" t="s">
        <v>87</v>
      </c>
      <c r="C205" s="14" t="s">
        <v>138</v>
      </c>
      <c r="D205" s="14" t="s">
        <v>139</v>
      </c>
      <c r="E205" s="14" t="s">
        <v>118</v>
      </c>
      <c r="F205" s="75">
        <f t="shared" si="10"/>
        <v>1498.5</v>
      </c>
      <c r="G205" s="14">
        <v>999</v>
      </c>
      <c r="H205" s="35" t="s">
        <v>497</v>
      </c>
    </row>
    <row r="206" spans="1:8" x14ac:dyDescent="0.2">
      <c r="A206" s="14">
        <v>2014</v>
      </c>
      <c r="B206" s="14" t="s">
        <v>87</v>
      </c>
      <c r="C206" s="14" t="s">
        <v>140</v>
      </c>
      <c r="D206" s="14" t="s">
        <v>139</v>
      </c>
      <c r="E206" s="14" t="s">
        <v>118</v>
      </c>
      <c r="F206" s="75">
        <f t="shared" si="10"/>
        <v>235.5</v>
      </c>
      <c r="G206" s="14">
        <v>157</v>
      </c>
      <c r="H206" s="35" t="s">
        <v>498</v>
      </c>
    </row>
    <row r="207" spans="1:8" x14ac:dyDescent="0.2">
      <c r="A207" s="14">
        <v>2014</v>
      </c>
      <c r="B207" s="14" t="s">
        <v>87</v>
      </c>
      <c r="C207" s="14" t="s">
        <v>90</v>
      </c>
      <c r="D207" s="14" t="s">
        <v>141</v>
      </c>
      <c r="E207" s="14" t="s">
        <v>142</v>
      </c>
      <c r="F207" s="75">
        <f t="shared" si="10"/>
        <v>5380.5</v>
      </c>
      <c r="G207" s="14">
        <v>3587</v>
      </c>
      <c r="H207" s="35" t="s">
        <v>499</v>
      </c>
    </row>
    <row r="208" spans="1:8" x14ac:dyDescent="0.2">
      <c r="A208" s="14">
        <v>2014</v>
      </c>
      <c r="B208" s="14" t="s">
        <v>87</v>
      </c>
      <c r="C208" s="14" t="s">
        <v>143</v>
      </c>
      <c r="D208" s="14" t="s">
        <v>141</v>
      </c>
      <c r="E208" s="14" t="s">
        <v>142</v>
      </c>
      <c r="F208" s="75">
        <f t="shared" si="10"/>
        <v>14446.5</v>
      </c>
      <c r="G208" s="14">
        <v>9631</v>
      </c>
      <c r="H208" s="35" t="s">
        <v>500</v>
      </c>
    </row>
    <row r="209" spans="1:8" x14ac:dyDescent="0.2">
      <c r="A209" s="14">
        <v>2014</v>
      </c>
      <c r="B209" s="14" t="s">
        <v>87</v>
      </c>
      <c r="C209" s="14" t="s">
        <v>90</v>
      </c>
      <c r="D209" s="14" t="s">
        <v>141</v>
      </c>
      <c r="E209" s="14" t="s">
        <v>142</v>
      </c>
      <c r="F209" s="75">
        <f t="shared" si="10"/>
        <v>5380.5</v>
      </c>
      <c r="G209" s="14">
        <v>3587</v>
      </c>
      <c r="H209" s="35" t="s">
        <v>501</v>
      </c>
    </row>
    <row r="210" spans="1:8" x14ac:dyDescent="0.2">
      <c r="A210" s="14">
        <v>2014</v>
      </c>
      <c r="B210" s="14" t="s">
        <v>87</v>
      </c>
      <c r="C210" s="14" t="s">
        <v>143</v>
      </c>
      <c r="D210" s="14" t="s">
        <v>141</v>
      </c>
      <c r="E210" s="14" t="s">
        <v>142</v>
      </c>
      <c r="F210" s="75">
        <f t="shared" si="10"/>
        <v>14446.5</v>
      </c>
      <c r="G210" s="14">
        <v>9631</v>
      </c>
      <c r="H210" s="35" t="s">
        <v>502</v>
      </c>
    </row>
    <row r="211" spans="1:8" x14ac:dyDescent="0.2">
      <c r="A211" s="14">
        <v>2014</v>
      </c>
      <c r="B211" s="14" t="s">
        <v>78</v>
      </c>
      <c r="C211" s="14" t="s">
        <v>143</v>
      </c>
      <c r="D211" s="14" t="s">
        <v>137</v>
      </c>
      <c r="E211" s="14" t="s">
        <v>117</v>
      </c>
      <c r="F211" s="75">
        <f t="shared" si="10"/>
        <v>2367</v>
      </c>
      <c r="G211" s="14">
        <v>1578</v>
      </c>
      <c r="H211" s="35" t="s">
        <v>503</v>
      </c>
    </row>
    <row r="212" spans="1:8" x14ac:dyDescent="0.2">
      <c r="A212" s="14">
        <v>2014</v>
      </c>
      <c r="B212" s="14" t="s">
        <v>78</v>
      </c>
      <c r="C212" s="14" t="s">
        <v>140</v>
      </c>
      <c r="D212" s="14" t="s">
        <v>137</v>
      </c>
      <c r="E212" s="14" t="s">
        <v>117</v>
      </c>
      <c r="F212" s="75">
        <f t="shared" si="10"/>
        <v>6880.5</v>
      </c>
      <c r="G212" s="14">
        <v>4587</v>
      </c>
      <c r="H212" s="35" t="s">
        <v>504</v>
      </c>
    </row>
    <row r="213" spans="1:8" x14ac:dyDescent="0.2">
      <c r="A213" s="14">
        <v>2014</v>
      </c>
      <c r="B213" s="14" t="s">
        <v>78</v>
      </c>
      <c r="C213" s="14" t="s">
        <v>143</v>
      </c>
      <c r="D213" s="14" t="s">
        <v>137</v>
      </c>
      <c r="E213" s="14" t="s">
        <v>117</v>
      </c>
      <c r="F213" s="75">
        <f t="shared" si="10"/>
        <v>2367</v>
      </c>
      <c r="G213" s="14">
        <v>1578</v>
      </c>
      <c r="H213" s="35" t="s">
        <v>505</v>
      </c>
    </row>
    <row r="214" spans="1:8" x14ac:dyDescent="0.2">
      <c r="A214" s="14">
        <v>2014</v>
      </c>
      <c r="B214" s="14" t="s">
        <v>78</v>
      </c>
      <c r="C214" s="14" t="s">
        <v>140</v>
      </c>
      <c r="D214" s="14" t="s">
        <v>137</v>
      </c>
      <c r="E214" s="14" t="s">
        <v>117</v>
      </c>
      <c r="F214" s="75">
        <f t="shared" si="10"/>
        <v>6880.5</v>
      </c>
      <c r="G214" s="14">
        <v>4587</v>
      </c>
      <c r="H214" s="35" t="s">
        <v>506</v>
      </c>
    </row>
    <row r="215" spans="1:8" x14ac:dyDescent="0.2">
      <c r="A215" s="14">
        <v>2014</v>
      </c>
      <c r="B215" s="14" t="s">
        <v>78</v>
      </c>
      <c r="C215" s="14" t="s">
        <v>90</v>
      </c>
      <c r="D215" s="14" t="s">
        <v>293</v>
      </c>
      <c r="E215" s="14" t="s">
        <v>142</v>
      </c>
      <c r="F215" s="75">
        <v>11838</v>
      </c>
      <c r="G215" s="14">
        <v>7892</v>
      </c>
      <c r="H215" s="35" t="s">
        <v>507</v>
      </c>
    </row>
    <row r="216" spans="1:8" x14ac:dyDescent="0.2">
      <c r="A216" s="14">
        <v>2014</v>
      </c>
      <c r="B216" s="14" t="s">
        <v>78</v>
      </c>
      <c r="C216" s="14" t="s">
        <v>143</v>
      </c>
      <c r="D216" s="14" t="s">
        <v>293</v>
      </c>
      <c r="E216" s="14" t="s">
        <v>142</v>
      </c>
      <c r="F216" s="75">
        <v>2367</v>
      </c>
      <c r="G216" s="14">
        <v>1578</v>
      </c>
      <c r="H216" s="35" t="s">
        <v>508</v>
      </c>
    </row>
    <row r="217" spans="1:8" x14ac:dyDescent="0.2">
      <c r="A217" s="14">
        <v>2014</v>
      </c>
      <c r="B217" s="14" t="s">
        <v>78</v>
      </c>
      <c r="C217" s="14" t="s">
        <v>90</v>
      </c>
      <c r="D217" s="14" t="s">
        <v>293</v>
      </c>
      <c r="E217" s="14" t="s">
        <v>142</v>
      </c>
      <c r="F217" s="75">
        <v>7030.5</v>
      </c>
      <c r="G217" s="14">
        <v>4687</v>
      </c>
      <c r="H217" s="35" t="s">
        <v>509</v>
      </c>
    </row>
    <row r="218" spans="1:8" x14ac:dyDescent="0.2">
      <c r="A218" s="14">
        <v>2014</v>
      </c>
      <c r="B218" s="14" t="s">
        <v>78</v>
      </c>
      <c r="C218" s="14" t="s">
        <v>138</v>
      </c>
      <c r="D218" s="14" t="s">
        <v>293</v>
      </c>
      <c r="E218" s="14" t="s">
        <v>142</v>
      </c>
      <c r="F218" s="75">
        <v>2046</v>
      </c>
      <c r="G218" s="14">
        <v>1364</v>
      </c>
      <c r="H218" s="35" t="s">
        <v>510</v>
      </c>
    </row>
    <row r="219" spans="1:8" x14ac:dyDescent="0.2">
      <c r="A219" s="14">
        <v>2014</v>
      </c>
      <c r="B219" s="14" t="s">
        <v>78</v>
      </c>
      <c r="C219" s="14" t="s">
        <v>90</v>
      </c>
      <c r="D219" s="14" t="s">
        <v>293</v>
      </c>
      <c r="E219" s="14" t="s">
        <v>142</v>
      </c>
      <c r="F219" s="75">
        <v>11838</v>
      </c>
      <c r="G219" s="14">
        <v>7892</v>
      </c>
      <c r="H219" s="35" t="s">
        <v>511</v>
      </c>
    </row>
    <row r="220" spans="1:8" x14ac:dyDescent="0.2">
      <c r="A220" s="14">
        <v>2014</v>
      </c>
      <c r="B220" s="14" t="s">
        <v>78</v>
      </c>
      <c r="C220" s="14" t="s">
        <v>143</v>
      </c>
      <c r="D220" s="14" t="s">
        <v>293</v>
      </c>
      <c r="E220" s="14" t="s">
        <v>142</v>
      </c>
      <c r="F220" s="75">
        <v>2367</v>
      </c>
      <c r="G220" s="14">
        <v>1578</v>
      </c>
      <c r="H220" s="35" t="s">
        <v>512</v>
      </c>
    </row>
    <row r="221" spans="1:8" x14ac:dyDescent="0.2">
      <c r="A221" s="14">
        <v>2014</v>
      </c>
      <c r="B221" s="14" t="s">
        <v>78</v>
      </c>
      <c r="C221" s="14" t="s">
        <v>90</v>
      </c>
      <c r="D221" s="14" t="s">
        <v>293</v>
      </c>
      <c r="E221" s="14" t="s">
        <v>142</v>
      </c>
      <c r="F221" s="75">
        <v>7030.5</v>
      </c>
      <c r="G221" s="14">
        <v>4687</v>
      </c>
      <c r="H221" s="35" t="s">
        <v>513</v>
      </c>
    </row>
    <row r="222" spans="1:8" x14ac:dyDescent="0.2">
      <c r="A222" s="14">
        <v>2014</v>
      </c>
      <c r="B222" s="14" t="s">
        <v>78</v>
      </c>
      <c r="C222" s="14" t="s">
        <v>138</v>
      </c>
      <c r="D222" s="14" t="s">
        <v>293</v>
      </c>
      <c r="E222" s="14" t="s">
        <v>142</v>
      </c>
      <c r="F222" s="75">
        <v>2046</v>
      </c>
      <c r="G222" s="14">
        <v>1364</v>
      </c>
      <c r="H222" s="35" t="s">
        <v>514</v>
      </c>
    </row>
    <row r="223" spans="1:8" x14ac:dyDescent="0.2">
      <c r="A223" s="14">
        <v>2014</v>
      </c>
      <c r="B223" s="14" t="s">
        <v>78</v>
      </c>
      <c r="C223" s="14" t="s">
        <v>140</v>
      </c>
      <c r="D223" s="14" t="s">
        <v>294</v>
      </c>
      <c r="E223" s="14" t="s">
        <v>115</v>
      </c>
      <c r="F223" s="75">
        <v>8793</v>
      </c>
      <c r="G223" s="14">
        <v>5862</v>
      </c>
      <c r="H223" s="35" t="s">
        <v>515</v>
      </c>
    </row>
    <row r="224" spans="1:8" x14ac:dyDescent="0.2">
      <c r="A224" s="14">
        <v>2014</v>
      </c>
      <c r="B224" s="14" t="s">
        <v>78</v>
      </c>
      <c r="C224" s="14" t="s">
        <v>140</v>
      </c>
      <c r="D224" s="14" t="s">
        <v>294</v>
      </c>
      <c r="E224" s="14" t="s">
        <v>115</v>
      </c>
      <c r="F224" s="75">
        <v>11122.5</v>
      </c>
      <c r="G224" s="14">
        <v>7415</v>
      </c>
      <c r="H224" s="35" t="s">
        <v>516</v>
      </c>
    </row>
    <row r="225" spans="1:8" x14ac:dyDescent="0.2">
      <c r="A225" s="14">
        <v>2014</v>
      </c>
      <c r="B225" s="14" t="s">
        <v>78</v>
      </c>
      <c r="C225" s="14" t="s">
        <v>90</v>
      </c>
      <c r="D225" s="14" t="s">
        <v>294</v>
      </c>
      <c r="E225" s="14" t="s">
        <v>115</v>
      </c>
      <c r="F225" s="75">
        <v>13428</v>
      </c>
      <c r="G225" s="14">
        <v>8952</v>
      </c>
      <c r="H225" s="35" t="s">
        <v>517</v>
      </c>
    </row>
    <row r="226" spans="1:8" x14ac:dyDescent="0.2">
      <c r="A226" s="14">
        <v>2014</v>
      </c>
      <c r="B226" s="14" t="s">
        <v>78</v>
      </c>
      <c r="C226" s="14" t="s">
        <v>140</v>
      </c>
      <c r="D226" s="14" t="s">
        <v>294</v>
      </c>
      <c r="E226" s="14" t="s">
        <v>115</v>
      </c>
      <c r="F226" s="75">
        <v>14619</v>
      </c>
      <c r="G226" s="14">
        <v>9746</v>
      </c>
      <c r="H226" s="35" t="s">
        <v>518</v>
      </c>
    </row>
    <row r="227" spans="1:8" x14ac:dyDescent="0.2">
      <c r="A227" s="14">
        <v>2014</v>
      </c>
      <c r="B227" s="14" t="s">
        <v>78</v>
      </c>
      <c r="C227" s="14" t="s">
        <v>143</v>
      </c>
      <c r="D227" s="14" t="s">
        <v>294</v>
      </c>
      <c r="E227" s="14" t="s">
        <v>115</v>
      </c>
      <c r="F227" s="75">
        <v>2367</v>
      </c>
      <c r="G227" s="14">
        <v>1578</v>
      </c>
      <c r="H227" s="35" t="s">
        <v>519</v>
      </c>
    </row>
    <row r="228" spans="1:8" x14ac:dyDescent="0.2">
      <c r="A228" s="14">
        <v>2014</v>
      </c>
      <c r="B228" s="14" t="s">
        <v>78</v>
      </c>
      <c r="C228" s="14" t="s">
        <v>140</v>
      </c>
      <c r="D228" s="14" t="s">
        <v>294</v>
      </c>
      <c r="E228" s="14" t="s">
        <v>115</v>
      </c>
      <c r="F228" s="75">
        <v>8793</v>
      </c>
      <c r="G228" s="14">
        <v>5862</v>
      </c>
      <c r="H228" s="35" t="s">
        <v>520</v>
      </c>
    </row>
    <row r="229" spans="1:8" x14ac:dyDescent="0.2">
      <c r="A229" s="14">
        <v>2014</v>
      </c>
      <c r="B229" s="14" t="s">
        <v>78</v>
      </c>
      <c r="C229" s="14" t="s">
        <v>140</v>
      </c>
      <c r="D229" s="14" t="s">
        <v>294</v>
      </c>
      <c r="E229" s="14" t="s">
        <v>115</v>
      </c>
      <c r="F229" s="75">
        <v>11122.5</v>
      </c>
      <c r="G229" s="14">
        <v>7415</v>
      </c>
      <c r="H229" s="35" t="s">
        <v>521</v>
      </c>
    </row>
    <row r="230" spans="1:8" x14ac:dyDescent="0.2">
      <c r="A230" s="14">
        <v>2014</v>
      </c>
      <c r="B230" s="14" t="s">
        <v>78</v>
      </c>
      <c r="C230" s="14" t="s">
        <v>90</v>
      </c>
      <c r="D230" s="14" t="s">
        <v>294</v>
      </c>
      <c r="E230" s="14" t="s">
        <v>115</v>
      </c>
      <c r="F230" s="75">
        <v>13428</v>
      </c>
      <c r="G230" s="14">
        <v>8952</v>
      </c>
      <c r="H230" s="35" t="s">
        <v>522</v>
      </c>
    </row>
    <row r="231" spans="1:8" x14ac:dyDescent="0.2">
      <c r="A231" s="14">
        <v>2014</v>
      </c>
      <c r="B231" s="14" t="s">
        <v>78</v>
      </c>
      <c r="C231" s="14" t="s">
        <v>140</v>
      </c>
      <c r="D231" s="14" t="s">
        <v>294</v>
      </c>
      <c r="E231" s="14" t="s">
        <v>115</v>
      </c>
      <c r="F231" s="75">
        <v>14619</v>
      </c>
      <c r="G231" s="14">
        <v>9746</v>
      </c>
      <c r="H231" s="35" t="s">
        <v>523</v>
      </c>
    </row>
    <row r="232" spans="1:8" x14ac:dyDescent="0.2">
      <c r="A232" s="14">
        <v>2014</v>
      </c>
      <c r="B232" s="14" t="s">
        <v>78</v>
      </c>
      <c r="C232" s="14" t="s">
        <v>143</v>
      </c>
      <c r="D232" s="14" t="s">
        <v>294</v>
      </c>
      <c r="E232" s="14" t="s">
        <v>115</v>
      </c>
      <c r="F232" s="75">
        <v>2367</v>
      </c>
      <c r="G232" s="14">
        <v>1578</v>
      </c>
      <c r="H232" s="35" t="s">
        <v>524</v>
      </c>
    </row>
    <row r="233" spans="1:8" x14ac:dyDescent="0.2">
      <c r="A233" s="14">
        <v>2014</v>
      </c>
      <c r="B233" s="14" t="s">
        <v>78</v>
      </c>
      <c r="C233" s="14" t="s">
        <v>90</v>
      </c>
      <c r="D233" s="14" t="s">
        <v>139</v>
      </c>
      <c r="E233" s="14" t="s">
        <v>118</v>
      </c>
      <c r="F233" s="75">
        <f t="shared" ref="F233:F244" si="11">G233*1.5</f>
        <v>11838</v>
      </c>
      <c r="G233" s="14">
        <v>7892</v>
      </c>
      <c r="H233" s="35" t="s">
        <v>525</v>
      </c>
    </row>
    <row r="234" spans="1:8" x14ac:dyDescent="0.2">
      <c r="A234" s="14">
        <v>2014</v>
      </c>
      <c r="B234" s="14" t="s">
        <v>78</v>
      </c>
      <c r="C234" s="14" t="s">
        <v>90</v>
      </c>
      <c r="D234" s="14" t="s">
        <v>139</v>
      </c>
      <c r="E234" s="14" t="s">
        <v>118</v>
      </c>
      <c r="F234" s="75">
        <f t="shared" si="11"/>
        <v>11979</v>
      </c>
      <c r="G234" s="14">
        <v>7986</v>
      </c>
      <c r="H234" s="35" t="s">
        <v>526</v>
      </c>
    </row>
    <row r="235" spans="1:8" x14ac:dyDescent="0.2">
      <c r="A235" s="14">
        <v>2014</v>
      </c>
      <c r="B235" s="14" t="s">
        <v>78</v>
      </c>
      <c r="C235" s="14" t="s">
        <v>90</v>
      </c>
      <c r="D235" s="14" t="s">
        <v>139</v>
      </c>
      <c r="E235" s="14" t="s">
        <v>118</v>
      </c>
      <c r="F235" s="75">
        <f t="shared" si="11"/>
        <v>11838</v>
      </c>
      <c r="G235" s="14">
        <v>7892</v>
      </c>
      <c r="H235" s="35" t="s">
        <v>527</v>
      </c>
    </row>
    <row r="236" spans="1:8" x14ac:dyDescent="0.2">
      <c r="A236" s="14">
        <v>2014</v>
      </c>
      <c r="B236" s="14" t="s">
        <v>78</v>
      </c>
      <c r="C236" s="14" t="s">
        <v>90</v>
      </c>
      <c r="D236" s="14" t="s">
        <v>139</v>
      </c>
      <c r="E236" s="14" t="s">
        <v>118</v>
      </c>
      <c r="F236" s="75">
        <f t="shared" si="11"/>
        <v>11979</v>
      </c>
      <c r="G236" s="14">
        <v>7986</v>
      </c>
      <c r="H236" s="35" t="s">
        <v>528</v>
      </c>
    </row>
    <row r="237" spans="1:8" x14ac:dyDescent="0.2">
      <c r="A237" s="14">
        <v>2014</v>
      </c>
      <c r="B237" s="14" t="s">
        <v>78</v>
      </c>
      <c r="C237" s="14" t="s">
        <v>90</v>
      </c>
      <c r="D237" s="14" t="s">
        <v>141</v>
      </c>
      <c r="E237" s="14" t="s">
        <v>142</v>
      </c>
      <c r="F237" s="75">
        <f t="shared" si="11"/>
        <v>7030.5</v>
      </c>
      <c r="G237" s="14">
        <v>4687</v>
      </c>
      <c r="H237" s="35" t="s">
        <v>529</v>
      </c>
    </row>
    <row r="238" spans="1:8" x14ac:dyDescent="0.2">
      <c r="A238" s="14">
        <v>2014</v>
      </c>
      <c r="B238" s="14" t="s">
        <v>78</v>
      </c>
      <c r="C238" s="14" t="s">
        <v>138</v>
      </c>
      <c r="D238" s="14" t="s">
        <v>141</v>
      </c>
      <c r="E238" s="14" t="s">
        <v>142</v>
      </c>
      <c r="F238" s="75">
        <f t="shared" si="11"/>
        <v>2046</v>
      </c>
      <c r="G238" s="14">
        <v>1364</v>
      </c>
      <c r="H238" s="35" t="s">
        <v>530</v>
      </c>
    </row>
    <row r="239" spans="1:8" x14ac:dyDescent="0.2">
      <c r="A239" s="14">
        <v>2014</v>
      </c>
      <c r="B239" s="14" t="s">
        <v>78</v>
      </c>
      <c r="C239" s="14" t="s">
        <v>90</v>
      </c>
      <c r="D239" s="14" t="s">
        <v>141</v>
      </c>
      <c r="E239" s="14" t="s">
        <v>142</v>
      </c>
      <c r="F239" s="75">
        <f t="shared" si="11"/>
        <v>7030.5</v>
      </c>
      <c r="G239" s="14">
        <v>4687</v>
      </c>
      <c r="H239" s="35" t="s">
        <v>531</v>
      </c>
    </row>
    <row r="240" spans="1:8" x14ac:dyDescent="0.2">
      <c r="A240" s="14">
        <v>2014</v>
      </c>
      <c r="B240" s="14" t="s">
        <v>78</v>
      </c>
      <c r="C240" s="14" t="s">
        <v>138</v>
      </c>
      <c r="D240" s="14" t="s">
        <v>141</v>
      </c>
      <c r="E240" s="14" t="s">
        <v>142</v>
      </c>
      <c r="F240" s="75">
        <f t="shared" si="11"/>
        <v>2046</v>
      </c>
      <c r="G240" s="14">
        <v>1364</v>
      </c>
      <c r="H240" s="35" t="s">
        <v>532</v>
      </c>
    </row>
    <row r="241" spans="1:8" x14ac:dyDescent="0.2">
      <c r="A241" s="14">
        <v>2014</v>
      </c>
      <c r="B241" s="14" t="s">
        <v>88</v>
      </c>
      <c r="C241" s="14" t="s">
        <v>138</v>
      </c>
      <c r="D241" s="14" t="s">
        <v>137</v>
      </c>
      <c r="E241" s="14" t="s">
        <v>117</v>
      </c>
      <c r="F241" s="75">
        <f t="shared" si="11"/>
        <v>747</v>
      </c>
      <c r="G241" s="14">
        <v>498</v>
      </c>
      <c r="H241" s="35" t="s">
        <v>533</v>
      </c>
    </row>
    <row r="242" spans="1:8" x14ac:dyDescent="0.2">
      <c r="A242" s="14">
        <v>2014</v>
      </c>
      <c r="B242" s="14" t="s">
        <v>88</v>
      </c>
      <c r="C242" s="14" t="s">
        <v>143</v>
      </c>
      <c r="D242" s="14" t="s">
        <v>137</v>
      </c>
      <c r="E242" s="14" t="s">
        <v>117</v>
      </c>
      <c r="F242" s="75">
        <f t="shared" si="11"/>
        <v>7342.5</v>
      </c>
      <c r="G242" s="14">
        <v>4895</v>
      </c>
      <c r="H242" s="35" t="s">
        <v>534</v>
      </c>
    </row>
    <row r="243" spans="1:8" x14ac:dyDescent="0.2">
      <c r="A243" s="14">
        <v>2014</v>
      </c>
      <c r="B243" s="14" t="s">
        <v>88</v>
      </c>
      <c r="C243" s="14" t="s">
        <v>138</v>
      </c>
      <c r="D243" s="14" t="s">
        <v>137</v>
      </c>
      <c r="E243" s="14" t="s">
        <v>117</v>
      </c>
      <c r="F243" s="75">
        <f t="shared" si="11"/>
        <v>747</v>
      </c>
      <c r="G243" s="14">
        <v>498</v>
      </c>
      <c r="H243" s="35" t="s">
        <v>535</v>
      </c>
    </row>
    <row r="244" spans="1:8" x14ac:dyDescent="0.2">
      <c r="A244" s="14">
        <v>2014</v>
      </c>
      <c r="B244" s="14" t="s">
        <v>88</v>
      </c>
      <c r="C244" s="14" t="s">
        <v>143</v>
      </c>
      <c r="D244" s="14" t="s">
        <v>137</v>
      </c>
      <c r="E244" s="14" t="s">
        <v>117</v>
      </c>
      <c r="F244" s="75">
        <f t="shared" si="11"/>
        <v>7342.5</v>
      </c>
      <c r="G244" s="14">
        <v>4895</v>
      </c>
      <c r="H244" s="35" t="s">
        <v>536</v>
      </c>
    </row>
    <row r="245" spans="1:8" x14ac:dyDescent="0.2">
      <c r="A245" s="14">
        <v>2014</v>
      </c>
      <c r="B245" s="14" t="s">
        <v>88</v>
      </c>
      <c r="C245" s="14" t="s">
        <v>143</v>
      </c>
      <c r="D245" s="14" t="s">
        <v>293</v>
      </c>
      <c r="E245" s="14" t="s">
        <v>142</v>
      </c>
      <c r="F245" s="75">
        <v>7344</v>
      </c>
      <c r="G245" s="14">
        <v>4896</v>
      </c>
      <c r="H245" s="35" t="s">
        <v>537</v>
      </c>
    </row>
    <row r="246" spans="1:8" x14ac:dyDescent="0.2">
      <c r="A246" s="14">
        <v>2014</v>
      </c>
      <c r="B246" s="14" t="s">
        <v>88</v>
      </c>
      <c r="C246" s="14" t="s">
        <v>90</v>
      </c>
      <c r="D246" s="14" t="s">
        <v>293</v>
      </c>
      <c r="E246" s="14" t="s">
        <v>142</v>
      </c>
      <c r="F246" s="75">
        <v>6880.5</v>
      </c>
      <c r="G246" s="14">
        <v>4587</v>
      </c>
      <c r="H246" s="35" t="s">
        <v>538</v>
      </c>
    </row>
    <row r="247" spans="1:8" x14ac:dyDescent="0.2">
      <c r="A247" s="14">
        <v>2014</v>
      </c>
      <c r="B247" s="14" t="s">
        <v>88</v>
      </c>
      <c r="C247" s="14" t="s">
        <v>143</v>
      </c>
      <c r="D247" s="14" t="s">
        <v>293</v>
      </c>
      <c r="E247" s="14" t="s">
        <v>142</v>
      </c>
      <c r="F247" s="75">
        <v>7344</v>
      </c>
      <c r="G247" s="14">
        <v>4896</v>
      </c>
      <c r="H247" s="35" t="s">
        <v>539</v>
      </c>
    </row>
    <row r="248" spans="1:8" x14ac:dyDescent="0.2">
      <c r="A248" s="14">
        <v>2014</v>
      </c>
      <c r="B248" s="14" t="s">
        <v>88</v>
      </c>
      <c r="C248" s="14" t="s">
        <v>90</v>
      </c>
      <c r="D248" s="14" t="s">
        <v>293</v>
      </c>
      <c r="E248" s="14" t="s">
        <v>142</v>
      </c>
      <c r="F248" s="75">
        <v>6880.5</v>
      </c>
      <c r="G248" s="14">
        <v>4587</v>
      </c>
      <c r="H248" s="35" t="s">
        <v>540</v>
      </c>
    </row>
    <row r="249" spans="1:8" x14ac:dyDescent="0.2">
      <c r="A249" s="14">
        <v>2014</v>
      </c>
      <c r="B249" s="14" t="s">
        <v>88</v>
      </c>
      <c r="C249" s="14" t="s">
        <v>90</v>
      </c>
      <c r="D249" s="14" t="s">
        <v>294</v>
      </c>
      <c r="E249" s="14" t="s">
        <v>115</v>
      </c>
      <c r="F249" s="75">
        <v>5380.5</v>
      </c>
      <c r="G249" s="14">
        <v>3587</v>
      </c>
      <c r="H249" s="35" t="s">
        <v>541</v>
      </c>
    </row>
    <row r="250" spans="1:8" x14ac:dyDescent="0.2">
      <c r="A250" s="14">
        <v>2014</v>
      </c>
      <c r="B250" s="14" t="s">
        <v>88</v>
      </c>
      <c r="C250" s="14" t="s">
        <v>90</v>
      </c>
      <c r="D250" s="14" t="s">
        <v>294</v>
      </c>
      <c r="E250" s="14" t="s">
        <v>115</v>
      </c>
      <c r="F250" s="75">
        <v>11838</v>
      </c>
      <c r="G250" s="14">
        <v>7892</v>
      </c>
      <c r="H250" s="35" t="s">
        <v>542</v>
      </c>
    </row>
    <row r="251" spans="1:8" x14ac:dyDescent="0.2">
      <c r="A251" s="14">
        <v>2014</v>
      </c>
      <c r="B251" s="14" t="s">
        <v>88</v>
      </c>
      <c r="C251" s="14" t="s">
        <v>90</v>
      </c>
      <c r="D251" s="14" t="s">
        <v>294</v>
      </c>
      <c r="E251" s="14" t="s">
        <v>115</v>
      </c>
      <c r="F251" s="75">
        <v>5380.5</v>
      </c>
      <c r="G251" s="14">
        <v>3587</v>
      </c>
      <c r="H251" s="35" t="s">
        <v>543</v>
      </c>
    </row>
    <row r="252" spans="1:8" x14ac:dyDescent="0.2">
      <c r="A252" s="14">
        <v>2014</v>
      </c>
      <c r="B252" s="14" t="s">
        <v>88</v>
      </c>
      <c r="C252" s="14" t="s">
        <v>90</v>
      </c>
      <c r="D252" s="14" t="s">
        <v>294</v>
      </c>
      <c r="E252" s="14" t="s">
        <v>115</v>
      </c>
      <c r="F252" s="75">
        <v>11838</v>
      </c>
      <c r="G252" s="14">
        <v>7892</v>
      </c>
      <c r="H252" s="35" t="s">
        <v>544</v>
      </c>
    </row>
    <row r="253" spans="1:8" x14ac:dyDescent="0.2">
      <c r="A253" s="14">
        <v>2014</v>
      </c>
      <c r="B253" s="14" t="s">
        <v>88</v>
      </c>
      <c r="C253" s="14" t="s">
        <v>143</v>
      </c>
      <c r="D253" s="14" t="s">
        <v>139</v>
      </c>
      <c r="E253" s="14" t="s">
        <v>118</v>
      </c>
      <c r="F253" s="75">
        <f t="shared" ref="F253:F262" si="12">G253*1.5</f>
        <v>7344</v>
      </c>
      <c r="G253" s="14">
        <v>4896</v>
      </c>
      <c r="H253" s="35" t="s">
        <v>545</v>
      </c>
    </row>
    <row r="254" spans="1:8" x14ac:dyDescent="0.2">
      <c r="A254" s="14">
        <v>2014</v>
      </c>
      <c r="B254" s="14" t="s">
        <v>88</v>
      </c>
      <c r="C254" s="14" t="s">
        <v>90</v>
      </c>
      <c r="D254" s="14" t="s">
        <v>139</v>
      </c>
      <c r="E254" s="14" t="s">
        <v>118</v>
      </c>
      <c r="F254" s="75">
        <f t="shared" si="12"/>
        <v>6880.5</v>
      </c>
      <c r="G254" s="14">
        <v>4587</v>
      </c>
      <c r="H254" s="35" t="s">
        <v>546</v>
      </c>
    </row>
    <row r="255" spans="1:8" x14ac:dyDescent="0.2">
      <c r="A255" s="14">
        <v>2014</v>
      </c>
      <c r="B255" s="14" t="s">
        <v>88</v>
      </c>
      <c r="C255" s="14" t="s">
        <v>90</v>
      </c>
      <c r="D255" s="14" t="s">
        <v>139</v>
      </c>
      <c r="E255" s="14" t="s">
        <v>118</v>
      </c>
      <c r="F255" s="75">
        <f t="shared" si="12"/>
        <v>7318.5</v>
      </c>
      <c r="G255" s="14">
        <v>4879</v>
      </c>
      <c r="H255" s="35" t="s">
        <v>547</v>
      </c>
    </row>
    <row r="256" spans="1:8" x14ac:dyDescent="0.2">
      <c r="A256" s="14">
        <v>2014</v>
      </c>
      <c r="B256" s="14" t="s">
        <v>88</v>
      </c>
      <c r="C256" s="14" t="s">
        <v>143</v>
      </c>
      <c r="D256" s="14" t="s">
        <v>139</v>
      </c>
      <c r="E256" s="14" t="s">
        <v>118</v>
      </c>
      <c r="F256" s="75">
        <f t="shared" si="12"/>
        <v>7344</v>
      </c>
      <c r="G256" s="14">
        <v>4896</v>
      </c>
      <c r="H256" s="35" t="s">
        <v>548</v>
      </c>
    </row>
    <row r="257" spans="1:8" x14ac:dyDescent="0.2">
      <c r="A257" s="14">
        <v>2014</v>
      </c>
      <c r="B257" s="14" t="s">
        <v>88</v>
      </c>
      <c r="C257" s="14" t="s">
        <v>90</v>
      </c>
      <c r="D257" s="14" t="s">
        <v>139</v>
      </c>
      <c r="E257" s="14" t="s">
        <v>118</v>
      </c>
      <c r="F257" s="75">
        <f t="shared" si="12"/>
        <v>6880.5</v>
      </c>
      <c r="G257" s="14">
        <v>4587</v>
      </c>
      <c r="H257" s="35" t="s">
        <v>549</v>
      </c>
    </row>
    <row r="258" spans="1:8" x14ac:dyDescent="0.2">
      <c r="A258" s="14">
        <v>2014</v>
      </c>
      <c r="B258" s="14" t="s">
        <v>88</v>
      </c>
      <c r="C258" s="14" t="s">
        <v>90</v>
      </c>
      <c r="D258" s="14" t="s">
        <v>139</v>
      </c>
      <c r="E258" s="14" t="s">
        <v>118</v>
      </c>
      <c r="F258" s="75">
        <f t="shared" si="12"/>
        <v>7318.5</v>
      </c>
      <c r="G258" s="14">
        <v>4879</v>
      </c>
      <c r="H258" s="35" t="s">
        <v>550</v>
      </c>
    </row>
    <row r="259" spans="1:8" x14ac:dyDescent="0.2">
      <c r="A259" s="14">
        <v>2014</v>
      </c>
      <c r="B259" s="14" t="s">
        <v>88</v>
      </c>
      <c r="C259" s="14" t="s">
        <v>140</v>
      </c>
      <c r="D259" s="14" t="s">
        <v>141</v>
      </c>
      <c r="E259" s="14" t="s">
        <v>142</v>
      </c>
      <c r="F259" s="75">
        <f t="shared" si="12"/>
        <v>6880.5</v>
      </c>
      <c r="G259" s="14">
        <v>4587</v>
      </c>
      <c r="H259" s="35" t="s">
        <v>551</v>
      </c>
    </row>
    <row r="260" spans="1:8" x14ac:dyDescent="0.2">
      <c r="A260" s="14">
        <v>2014</v>
      </c>
      <c r="B260" s="14" t="s">
        <v>88</v>
      </c>
      <c r="C260" s="14" t="s">
        <v>90</v>
      </c>
      <c r="D260" s="14" t="s">
        <v>141</v>
      </c>
      <c r="E260" s="14" t="s">
        <v>142</v>
      </c>
      <c r="F260" s="75">
        <f t="shared" si="12"/>
        <v>9486</v>
      </c>
      <c r="G260" s="14">
        <v>6324</v>
      </c>
      <c r="H260" s="35" t="s">
        <v>552</v>
      </c>
    </row>
    <row r="261" spans="1:8" x14ac:dyDescent="0.2">
      <c r="A261" s="14">
        <v>2014</v>
      </c>
      <c r="B261" s="14" t="s">
        <v>88</v>
      </c>
      <c r="C261" s="14" t="s">
        <v>140</v>
      </c>
      <c r="D261" s="14" t="s">
        <v>141</v>
      </c>
      <c r="E261" s="14" t="s">
        <v>142</v>
      </c>
      <c r="F261" s="75">
        <f t="shared" si="12"/>
        <v>6880.5</v>
      </c>
      <c r="G261" s="14">
        <v>4587</v>
      </c>
      <c r="H261" s="35" t="s">
        <v>553</v>
      </c>
    </row>
    <row r="262" spans="1:8" x14ac:dyDescent="0.2">
      <c r="A262" s="14">
        <v>2014</v>
      </c>
      <c r="B262" s="14" t="s">
        <v>88</v>
      </c>
      <c r="C262" s="14" t="s">
        <v>90</v>
      </c>
      <c r="D262" s="14" t="s">
        <v>141</v>
      </c>
      <c r="E262" s="14" t="s">
        <v>142</v>
      </c>
      <c r="F262" s="75">
        <f t="shared" si="12"/>
        <v>9486</v>
      </c>
      <c r="G262" s="14">
        <v>6324</v>
      </c>
      <c r="H262" s="35" t="s">
        <v>554</v>
      </c>
    </row>
    <row r="263" spans="1:8" x14ac:dyDescent="0.2">
      <c r="A263" s="14">
        <v>2014</v>
      </c>
      <c r="B263" s="14" t="s">
        <v>89</v>
      </c>
      <c r="C263" s="14" t="s">
        <v>90</v>
      </c>
      <c r="D263" s="14" t="s">
        <v>137</v>
      </c>
      <c r="E263" s="14" t="s">
        <v>117</v>
      </c>
      <c r="F263" s="75">
        <v>4666</v>
      </c>
      <c r="G263" s="14">
        <v>5623</v>
      </c>
      <c r="H263" s="35" t="s">
        <v>555</v>
      </c>
    </row>
    <row r="264" spans="1:8" x14ac:dyDescent="0.2">
      <c r="A264" s="14">
        <v>2014</v>
      </c>
      <c r="B264" s="14" t="s">
        <v>89</v>
      </c>
      <c r="C264" s="14" t="s">
        <v>90</v>
      </c>
      <c r="D264" s="14" t="s">
        <v>137</v>
      </c>
      <c r="E264" s="14" t="s">
        <v>117</v>
      </c>
      <c r="F264" s="75">
        <f>G264*1.5</f>
        <v>10992</v>
      </c>
      <c r="G264" s="14">
        <v>7328</v>
      </c>
      <c r="H264" s="35" t="s">
        <v>556</v>
      </c>
    </row>
    <row r="265" spans="1:8" x14ac:dyDescent="0.2">
      <c r="A265" s="14">
        <v>2014</v>
      </c>
      <c r="B265" s="14" t="s">
        <v>89</v>
      </c>
      <c r="C265" s="14" t="s">
        <v>90</v>
      </c>
      <c r="D265" s="14" t="s">
        <v>137</v>
      </c>
      <c r="E265" s="14" t="s">
        <v>117</v>
      </c>
      <c r="F265" s="75">
        <v>4666</v>
      </c>
      <c r="G265" s="14">
        <v>5623</v>
      </c>
      <c r="H265" s="35" t="s">
        <v>557</v>
      </c>
    </row>
    <row r="266" spans="1:8" x14ac:dyDescent="0.2">
      <c r="A266" s="14">
        <v>2014</v>
      </c>
      <c r="B266" s="14" t="s">
        <v>89</v>
      </c>
      <c r="C266" s="14" t="s">
        <v>90</v>
      </c>
      <c r="D266" s="14" t="s">
        <v>137</v>
      </c>
      <c r="E266" s="14" t="s">
        <v>117</v>
      </c>
      <c r="F266" s="75">
        <f>G266*1.5</f>
        <v>10992</v>
      </c>
      <c r="G266" s="14">
        <v>7328</v>
      </c>
      <c r="H266" s="35" t="s">
        <v>558</v>
      </c>
    </row>
    <row r="267" spans="1:8" x14ac:dyDescent="0.2">
      <c r="A267" s="14">
        <v>2014</v>
      </c>
      <c r="B267" s="14" t="s">
        <v>89</v>
      </c>
      <c r="C267" s="14" t="s">
        <v>90</v>
      </c>
      <c r="D267" s="14" t="s">
        <v>293</v>
      </c>
      <c r="E267" s="14" t="s">
        <v>142</v>
      </c>
      <c r="F267" s="75">
        <v>4666</v>
      </c>
      <c r="G267" s="14">
        <v>5623</v>
      </c>
      <c r="H267" s="35" t="s">
        <v>559</v>
      </c>
    </row>
    <row r="268" spans="1:8" x14ac:dyDescent="0.2">
      <c r="A268" s="14">
        <v>2014</v>
      </c>
      <c r="B268" s="14" t="s">
        <v>89</v>
      </c>
      <c r="C268" s="14" t="s">
        <v>138</v>
      </c>
      <c r="D268" s="14" t="s">
        <v>293</v>
      </c>
      <c r="E268" s="14" t="s">
        <v>142</v>
      </c>
      <c r="F268" s="75">
        <v>3897</v>
      </c>
      <c r="G268" s="14">
        <v>2598</v>
      </c>
      <c r="H268" s="35" t="s">
        <v>560</v>
      </c>
    </row>
    <row r="269" spans="1:8" x14ac:dyDescent="0.2">
      <c r="A269" s="14">
        <v>2014</v>
      </c>
      <c r="B269" s="14" t="s">
        <v>89</v>
      </c>
      <c r="C269" s="14" t="s">
        <v>90</v>
      </c>
      <c r="D269" s="14" t="s">
        <v>293</v>
      </c>
      <c r="E269" s="14" t="s">
        <v>142</v>
      </c>
      <c r="F269" s="75">
        <v>4666</v>
      </c>
      <c r="G269" s="14">
        <v>5623</v>
      </c>
      <c r="H269" s="35" t="s">
        <v>561</v>
      </c>
    </row>
    <row r="270" spans="1:8" x14ac:dyDescent="0.2">
      <c r="A270" s="14">
        <v>2014</v>
      </c>
      <c r="B270" s="14" t="s">
        <v>89</v>
      </c>
      <c r="C270" s="14" t="s">
        <v>138</v>
      </c>
      <c r="D270" s="14" t="s">
        <v>293</v>
      </c>
      <c r="E270" s="14" t="s">
        <v>142</v>
      </c>
      <c r="F270" s="75">
        <v>3897</v>
      </c>
      <c r="G270" s="14">
        <v>2598</v>
      </c>
      <c r="H270" s="35" t="s">
        <v>562</v>
      </c>
    </row>
    <row r="271" spans="1:8" x14ac:dyDescent="0.2">
      <c r="A271" s="14">
        <v>2014</v>
      </c>
      <c r="B271" s="14" t="s">
        <v>89</v>
      </c>
      <c r="C271" s="14" t="s">
        <v>138</v>
      </c>
      <c r="D271" s="14" t="s">
        <v>294</v>
      </c>
      <c r="E271" s="14" t="s">
        <v>115</v>
      </c>
      <c r="F271" s="75">
        <f t="shared" ref="F271:F288" si="13">G271*1.5</f>
        <v>747</v>
      </c>
      <c r="G271" s="14">
        <v>498</v>
      </c>
      <c r="H271" s="35" t="s">
        <v>563</v>
      </c>
    </row>
    <row r="272" spans="1:8" x14ac:dyDescent="0.2">
      <c r="A272" s="14">
        <v>2014</v>
      </c>
      <c r="B272" s="14" t="s">
        <v>89</v>
      </c>
      <c r="C272" s="14" t="s">
        <v>140</v>
      </c>
      <c r="D272" s="14" t="s">
        <v>294</v>
      </c>
      <c r="E272" s="14" t="s">
        <v>115</v>
      </c>
      <c r="F272" s="75">
        <f t="shared" si="13"/>
        <v>6880.5</v>
      </c>
      <c r="G272" s="14">
        <v>4587</v>
      </c>
      <c r="H272" s="35" t="s">
        <v>564</v>
      </c>
    </row>
    <row r="273" spans="1:8" x14ac:dyDescent="0.2">
      <c r="A273" s="14">
        <v>2014</v>
      </c>
      <c r="B273" s="14" t="s">
        <v>89</v>
      </c>
      <c r="C273" s="14" t="s">
        <v>138</v>
      </c>
      <c r="D273" s="14" t="s">
        <v>294</v>
      </c>
      <c r="E273" s="14" t="s">
        <v>115</v>
      </c>
      <c r="F273" s="75">
        <f t="shared" si="13"/>
        <v>747</v>
      </c>
      <c r="G273" s="14">
        <v>498</v>
      </c>
      <c r="H273" s="35" t="s">
        <v>565</v>
      </c>
    </row>
    <row r="274" spans="1:8" x14ac:dyDescent="0.2">
      <c r="A274" s="14">
        <v>2014</v>
      </c>
      <c r="B274" s="14" t="s">
        <v>89</v>
      </c>
      <c r="C274" s="14" t="s">
        <v>140</v>
      </c>
      <c r="D274" s="14" t="s">
        <v>294</v>
      </c>
      <c r="E274" s="14" t="s">
        <v>115</v>
      </c>
      <c r="F274" s="75">
        <f t="shared" si="13"/>
        <v>6880.5</v>
      </c>
      <c r="G274" s="14">
        <v>4587</v>
      </c>
      <c r="H274" s="35" t="s">
        <v>566</v>
      </c>
    </row>
    <row r="275" spans="1:8" x14ac:dyDescent="0.2">
      <c r="A275" s="14">
        <v>2014</v>
      </c>
      <c r="B275" s="14" t="s">
        <v>89</v>
      </c>
      <c r="C275" s="14" t="s">
        <v>138</v>
      </c>
      <c r="D275" s="14" t="s">
        <v>139</v>
      </c>
      <c r="E275" s="14" t="s">
        <v>118</v>
      </c>
      <c r="F275" s="75">
        <f t="shared" si="13"/>
        <v>3897</v>
      </c>
      <c r="G275" s="14">
        <v>2598</v>
      </c>
      <c r="H275" s="35" t="s">
        <v>567</v>
      </c>
    </row>
    <row r="276" spans="1:8" x14ac:dyDescent="0.2">
      <c r="A276" s="14">
        <v>2014</v>
      </c>
      <c r="B276" s="14" t="s">
        <v>89</v>
      </c>
      <c r="C276" s="14" t="s">
        <v>143</v>
      </c>
      <c r="D276" s="14" t="s">
        <v>139</v>
      </c>
      <c r="E276" s="14" t="s">
        <v>118</v>
      </c>
      <c r="F276" s="75">
        <f t="shared" si="13"/>
        <v>3084</v>
      </c>
      <c r="G276" s="14">
        <v>2056</v>
      </c>
      <c r="H276" s="35" t="s">
        <v>568</v>
      </c>
    </row>
    <row r="277" spans="1:8" x14ac:dyDescent="0.2">
      <c r="A277" s="14">
        <v>2014</v>
      </c>
      <c r="B277" s="14" t="s">
        <v>89</v>
      </c>
      <c r="C277" s="14" t="s">
        <v>138</v>
      </c>
      <c r="D277" s="14" t="s">
        <v>139</v>
      </c>
      <c r="E277" s="14" t="s">
        <v>118</v>
      </c>
      <c r="F277" s="75">
        <f t="shared" si="13"/>
        <v>3897</v>
      </c>
      <c r="G277" s="14">
        <v>2598</v>
      </c>
      <c r="H277" s="35" t="s">
        <v>569</v>
      </c>
    </row>
    <row r="278" spans="1:8" x14ac:dyDescent="0.2">
      <c r="A278" s="14">
        <v>2014</v>
      </c>
      <c r="B278" s="14" t="s">
        <v>89</v>
      </c>
      <c r="C278" s="14" t="s">
        <v>143</v>
      </c>
      <c r="D278" s="14" t="s">
        <v>139</v>
      </c>
      <c r="E278" s="14" t="s">
        <v>118</v>
      </c>
      <c r="F278" s="75">
        <f t="shared" si="13"/>
        <v>3084</v>
      </c>
      <c r="G278" s="14">
        <v>2056</v>
      </c>
      <c r="H278" s="35" t="s">
        <v>570</v>
      </c>
    </row>
    <row r="279" spans="1:8" x14ac:dyDescent="0.2">
      <c r="A279" s="14">
        <v>2014</v>
      </c>
      <c r="B279" s="14" t="s">
        <v>89</v>
      </c>
      <c r="C279" s="14" t="s">
        <v>140</v>
      </c>
      <c r="D279" s="14" t="s">
        <v>141</v>
      </c>
      <c r="E279" s="14" t="s">
        <v>142</v>
      </c>
      <c r="F279" s="75">
        <f t="shared" si="13"/>
        <v>12370.5</v>
      </c>
      <c r="G279" s="14">
        <v>8247</v>
      </c>
      <c r="H279" s="35" t="s">
        <v>571</v>
      </c>
    </row>
    <row r="280" spans="1:8" x14ac:dyDescent="0.2">
      <c r="A280" s="14">
        <v>2014</v>
      </c>
      <c r="B280" s="14" t="s">
        <v>89</v>
      </c>
      <c r="C280" s="14" t="s">
        <v>90</v>
      </c>
      <c r="D280" s="14" t="s">
        <v>141</v>
      </c>
      <c r="E280" s="14" t="s">
        <v>142</v>
      </c>
      <c r="F280" s="75">
        <f t="shared" si="13"/>
        <v>13231.5</v>
      </c>
      <c r="G280" s="14">
        <v>8821</v>
      </c>
      <c r="H280" s="35" t="s">
        <v>572</v>
      </c>
    </row>
    <row r="281" spans="1:8" x14ac:dyDescent="0.2">
      <c r="A281" s="14">
        <v>2014</v>
      </c>
      <c r="B281" s="14" t="s">
        <v>89</v>
      </c>
      <c r="C281" s="14" t="s">
        <v>140</v>
      </c>
      <c r="D281" s="14" t="s">
        <v>141</v>
      </c>
      <c r="E281" s="14" t="s">
        <v>142</v>
      </c>
      <c r="F281" s="75">
        <f t="shared" si="13"/>
        <v>12370.5</v>
      </c>
      <c r="G281" s="14">
        <v>8247</v>
      </c>
      <c r="H281" s="35" t="s">
        <v>573</v>
      </c>
    </row>
    <row r="282" spans="1:8" x14ac:dyDescent="0.2">
      <c r="A282" s="14">
        <v>2014</v>
      </c>
      <c r="B282" s="14" t="s">
        <v>89</v>
      </c>
      <c r="C282" s="14" t="s">
        <v>90</v>
      </c>
      <c r="D282" s="14" t="s">
        <v>141</v>
      </c>
      <c r="E282" s="14" t="s">
        <v>142</v>
      </c>
      <c r="F282" s="75">
        <f t="shared" si="13"/>
        <v>13231.5</v>
      </c>
      <c r="G282" s="14">
        <v>8821</v>
      </c>
      <c r="H282" s="35" t="s">
        <v>574</v>
      </c>
    </row>
    <row r="283" spans="1:8" x14ac:dyDescent="0.2">
      <c r="A283" s="14">
        <v>2014</v>
      </c>
      <c r="B283" s="14" t="s">
        <v>144</v>
      </c>
      <c r="C283" s="14" t="s">
        <v>138</v>
      </c>
      <c r="D283" s="14" t="s">
        <v>137</v>
      </c>
      <c r="E283" s="14" t="s">
        <v>117</v>
      </c>
      <c r="F283" s="75">
        <f t="shared" si="13"/>
        <v>8832</v>
      </c>
      <c r="G283" s="14">
        <v>5888</v>
      </c>
      <c r="H283" s="35" t="s">
        <v>575</v>
      </c>
    </row>
    <row r="284" spans="1:8" x14ac:dyDescent="0.2">
      <c r="A284" s="14">
        <v>2014</v>
      </c>
      <c r="B284" s="14" t="s">
        <v>144</v>
      </c>
      <c r="C284" s="14" t="s">
        <v>90</v>
      </c>
      <c r="D284" s="14" t="s">
        <v>137</v>
      </c>
      <c r="E284" s="14" t="s">
        <v>117</v>
      </c>
      <c r="F284" s="75">
        <f t="shared" si="13"/>
        <v>13413</v>
      </c>
      <c r="G284" s="14">
        <v>8942</v>
      </c>
      <c r="H284" s="35" t="s">
        <v>576</v>
      </c>
    </row>
    <row r="285" spans="1:8" x14ac:dyDescent="0.2">
      <c r="A285" s="14">
        <v>2014</v>
      </c>
      <c r="B285" s="14" t="s">
        <v>144</v>
      </c>
      <c r="C285" s="14" t="s">
        <v>143</v>
      </c>
      <c r="D285" s="14" t="s">
        <v>137</v>
      </c>
      <c r="E285" s="14" t="s">
        <v>117</v>
      </c>
      <c r="F285" s="75">
        <f t="shared" si="13"/>
        <v>4026</v>
      </c>
      <c r="G285" s="14">
        <v>2684</v>
      </c>
      <c r="H285" s="35" t="s">
        <v>577</v>
      </c>
    </row>
    <row r="286" spans="1:8" x14ac:dyDescent="0.2">
      <c r="A286" s="14">
        <v>2014</v>
      </c>
      <c r="B286" s="14" t="s">
        <v>144</v>
      </c>
      <c r="C286" s="14" t="s">
        <v>138</v>
      </c>
      <c r="D286" s="14" t="s">
        <v>137</v>
      </c>
      <c r="E286" s="14" t="s">
        <v>117</v>
      </c>
      <c r="F286" s="75">
        <f t="shared" si="13"/>
        <v>8832</v>
      </c>
      <c r="G286" s="14">
        <v>5888</v>
      </c>
      <c r="H286" s="35" t="s">
        <v>578</v>
      </c>
    </row>
    <row r="287" spans="1:8" x14ac:dyDescent="0.2">
      <c r="A287" s="14">
        <v>2014</v>
      </c>
      <c r="B287" s="14" t="s">
        <v>144</v>
      </c>
      <c r="C287" s="14" t="s">
        <v>90</v>
      </c>
      <c r="D287" s="14" t="s">
        <v>137</v>
      </c>
      <c r="E287" s="14" t="s">
        <v>117</v>
      </c>
      <c r="F287" s="75">
        <f t="shared" si="13"/>
        <v>13413</v>
      </c>
      <c r="G287" s="14">
        <v>8942</v>
      </c>
      <c r="H287" s="35" t="s">
        <v>579</v>
      </c>
    </row>
    <row r="288" spans="1:8" x14ac:dyDescent="0.2">
      <c r="A288" s="14">
        <v>2014</v>
      </c>
      <c r="B288" s="14" t="s">
        <v>144</v>
      </c>
      <c r="C288" s="14" t="s">
        <v>143</v>
      </c>
      <c r="D288" s="14" t="s">
        <v>137</v>
      </c>
      <c r="E288" s="14" t="s">
        <v>117</v>
      </c>
      <c r="F288" s="75">
        <f t="shared" si="13"/>
        <v>4026</v>
      </c>
      <c r="G288" s="14">
        <v>2684</v>
      </c>
      <c r="H288" s="35" t="s">
        <v>580</v>
      </c>
    </row>
    <row r="289" spans="1:8" x14ac:dyDescent="0.2">
      <c r="A289" s="14">
        <v>2014</v>
      </c>
      <c r="B289" s="14" t="s">
        <v>144</v>
      </c>
      <c r="C289" s="14" t="s">
        <v>138</v>
      </c>
      <c r="D289" s="14" t="s">
        <v>293</v>
      </c>
      <c r="E289" s="14" t="s">
        <v>142</v>
      </c>
      <c r="F289" s="75">
        <v>8832</v>
      </c>
      <c r="G289" s="14">
        <v>5888</v>
      </c>
      <c r="H289" s="35" t="s">
        <v>581</v>
      </c>
    </row>
    <row r="290" spans="1:8" x14ac:dyDescent="0.2">
      <c r="A290" s="14">
        <v>2014</v>
      </c>
      <c r="B290" s="14" t="s">
        <v>144</v>
      </c>
      <c r="C290" s="14" t="s">
        <v>140</v>
      </c>
      <c r="D290" s="14" t="s">
        <v>293</v>
      </c>
      <c r="E290" s="14" t="s">
        <v>142</v>
      </c>
      <c r="F290" s="75">
        <v>3547.5</v>
      </c>
      <c r="G290" s="14">
        <v>2365</v>
      </c>
      <c r="H290" s="35" t="s">
        <v>582</v>
      </c>
    </row>
    <row r="291" spans="1:8" x14ac:dyDescent="0.2">
      <c r="A291" s="14">
        <v>2014</v>
      </c>
      <c r="B291" s="14" t="s">
        <v>144</v>
      </c>
      <c r="C291" s="14" t="s">
        <v>138</v>
      </c>
      <c r="D291" s="14" t="s">
        <v>293</v>
      </c>
      <c r="E291" s="14" t="s">
        <v>142</v>
      </c>
      <c r="F291" s="75">
        <v>8832</v>
      </c>
      <c r="G291" s="14">
        <v>5888</v>
      </c>
      <c r="H291" s="35" t="s">
        <v>583</v>
      </c>
    </row>
    <row r="292" spans="1:8" x14ac:dyDescent="0.2">
      <c r="A292" s="14">
        <v>2014</v>
      </c>
      <c r="B292" s="14" t="s">
        <v>144</v>
      </c>
      <c r="C292" s="14" t="s">
        <v>140</v>
      </c>
      <c r="D292" s="14" t="s">
        <v>293</v>
      </c>
      <c r="E292" s="14" t="s">
        <v>142</v>
      </c>
      <c r="F292" s="75">
        <v>3547.5</v>
      </c>
      <c r="G292" s="14">
        <v>2365</v>
      </c>
      <c r="H292" s="35" t="s">
        <v>584</v>
      </c>
    </row>
    <row r="293" spans="1:8" x14ac:dyDescent="0.2">
      <c r="A293" s="14">
        <v>2014</v>
      </c>
      <c r="B293" s="14" t="s">
        <v>144</v>
      </c>
      <c r="C293" s="14" t="s">
        <v>90</v>
      </c>
      <c r="D293" s="14" t="s">
        <v>294</v>
      </c>
      <c r="E293" s="14" t="s">
        <v>115</v>
      </c>
      <c r="F293" s="75">
        <f t="shared" ref="F293:F306" si="14">G293*1.5</f>
        <v>9486</v>
      </c>
      <c r="G293" s="14">
        <v>6324</v>
      </c>
      <c r="H293" s="35" t="s">
        <v>585</v>
      </c>
    </row>
    <row r="294" spans="1:8" x14ac:dyDescent="0.2">
      <c r="A294" s="14">
        <v>2014</v>
      </c>
      <c r="B294" s="14" t="s">
        <v>144</v>
      </c>
      <c r="C294" s="14" t="s">
        <v>143</v>
      </c>
      <c r="D294" s="14" t="s">
        <v>294</v>
      </c>
      <c r="E294" s="14" t="s">
        <v>115</v>
      </c>
      <c r="F294" s="75">
        <f t="shared" si="14"/>
        <v>7342.5</v>
      </c>
      <c r="G294" s="14">
        <v>4895</v>
      </c>
      <c r="H294" s="35" t="s">
        <v>586</v>
      </c>
    </row>
    <row r="295" spans="1:8" x14ac:dyDescent="0.2">
      <c r="A295" s="14">
        <v>2014</v>
      </c>
      <c r="B295" s="14" t="s">
        <v>144</v>
      </c>
      <c r="C295" s="14" t="s">
        <v>90</v>
      </c>
      <c r="D295" s="14" t="s">
        <v>294</v>
      </c>
      <c r="E295" s="14" t="s">
        <v>115</v>
      </c>
      <c r="F295" s="75">
        <f t="shared" si="14"/>
        <v>9486</v>
      </c>
      <c r="G295" s="14">
        <v>6324</v>
      </c>
      <c r="H295" s="35" t="s">
        <v>587</v>
      </c>
    </row>
    <row r="296" spans="1:8" x14ac:dyDescent="0.2">
      <c r="A296" s="14">
        <v>2014</v>
      </c>
      <c r="B296" s="14" t="s">
        <v>144</v>
      </c>
      <c r="C296" s="14" t="s">
        <v>143</v>
      </c>
      <c r="D296" s="14" t="s">
        <v>294</v>
      </c>
      <c r="E296" s="14" t="s">
        <v>115</v>
      </c>
      <c r="F296" s="75">
        <f t="shared" si="14"/>
        <v>7342.5</v>
      </c>
      <c r="G296" s="14">
        <v>4895</v>
      </c>
      <c r="H296" s="35" t="s">
        <v>588</v>
      </c>
    </row>
    <row r="297" spans="1:8" x14ac:dyDescent="0.2">
      <c r="A297" s="14">
        <v>2014</v>
      </c>
      <c r="B297" s="14" t="s">
        <v>144</v>
      </c>
      <c r="C297" s="14" t="s">
        <v>140</v>
      </c>
      <c r="D297" s="14" t="s">
        <v>139</v>
      </c>
      <c r="E297" s="14" t="s">
        <v>118</v>
      </c>
      <c r="F297" s="75">
        <f t="shared" si="14"/>
        <v>3547.5</v>
      </c>
      <c r="G297" s="14">
        <v>2365</v>
      </c>
      <c r="H297" s="35" t="s">
        <v>589</v>
      </c>
    </row>
    <row r="298" spans="1:8" x14ac:dyDescent="0.2">
      <c r="A298" s="14">
        <v>2014</v>
      </c>
      <c r="B298" s="14" t="s">
        <v>144</v>
      </c>
      <c r="C298" s="14" t="s">
        <v>90</v>
      </c>
      <c r="D298" s="14" t="s">
        <v>139</v>
      </c>
      <c r="E298" s="14" t="s">
        <v>118</v>
      </c>
      <c r="F298" s="75">
        <f t="shared" si="14"/>
        <v>3238.5</v>
      </c>
      <c r="G298" s="14">
        <v>2159</v>
      </c>
      <c r="H298" s="35" t="s">
        <v>590</v>
      </c>
    </row>
    <row r="299" spans="1:8" x14ac:dyDescent="0.2">
      <c r="A299" s="14">
        <v>2014</v>
      </c>
      <c r="B299" s="14" t="s">
        <v>144</v>
      </c>
      <c r="C299" s="14" t="s">
        <v>140</v>
      </c>
      <c r="D299" s="14" t="s">
        <v>139</v>
      </c>
      <c r="E299" s="14" t="s">
        <v>118</v>
      </c>
      <c r="F299" s="75">
        <f t="shared" si="14"/>
        <v>3547.5</v>
      </c>
      <c r="G299" s="14">
        <v>2365</v>
      </c>
      <c r="H299" s="35" t="s">
        <v>591</v>
      </c>
    </row>
    <row r="300" spans="1:8" x14ac:dyDescent="0.2">
      <c r="A300" s="14">
        <v>2014</v>
      </c>
      <c r="B300" s="14" t="s">
        <v>144</v>
      </c>
      <c r="C300" s="14" t="s">
        <v>90</v>
      </c>
      <c r="D300" s="14" t="s">
        <v>139</v>
      </c>
      <c r="E300" s="14" t="s">
        <v>118</v>
      </c>
      <c r="F300" s="75">
        <f t="shared" si="14"/>
        <v>3238.5</v>
      </c>
      <c r="G300" s="14">
        <v>2159</v>
      </c>
      <c r="H300" s="35" t="s">
        <v>592</v>
      </c>
    </row>
    <row r="301" spans="1:8" x14ac:dyDescent="0.2">
      <c r="A301" s="14">
        <v>2015</v>
      </c>
      <c r="B301" s="14" t="s">
        <v>84</v>
      </c>
      <c r="C301" s="14" t="s">
        <v>90</v>
      </c>
      <c r="D301" s="14" t="s">
        <v>137</v>
      </c>
      <c r="E301" s="14" t="s">
        <v>117</v>
      </c>
      <c r="F301" s="75">
        <f t="shared" si="14"/>
        <v>2395.5</v>
      </c>
      <c r="G301" s="14">
        <v>1597</v>
      </c>
      <c r="H301" s="35" t="s">
        <v>593</v>
      </c>
    </row>
    <row r="302" spans="1:8" x14ac:dyDescent="0.2">
      <c r="A302" s="14">
        <v>2015</v>
      </c>
      <c r="B302" s="14" t="s">
        <v>84</v>
      </c>
      <c r="C302" s="14" t="s">
        <v>90</v>
      </c>
      <c r="D302" s="14" t="s">
        <v>137</v>
      </c>
      <c r="E302" s="14" t="s">
        <v>117</v>
      </c>
      <c r="F302" s="75">
        <f t="shared" si="14"/>
        <v>11761.5</v>
      </c>
      <c r="G302" s="14">
        <v>7841</v>
      </c>
      <c r="H302" s="35" t="s">
        <v>594</v>
      </c>
    </row>
    <row r="303" spans="1:8" x14ac:dyDescent="0.2">
      <c r="A303" s="14">
        <v>2015</v>
      </c>
      <c r="B303" s="14" t="s">
        <v>84</v>
      </c>
      <c r="C303" s="14" t="s">
        <v>138</v>
      </c>
      <c r="D303" s="14" t="s">
        <v>137</v>
      </c>
      <c r="E303" s="14" t="s">
        <v>117</v>
      </c>
      <c r="F303" s="75">
        <f t="shared" si="14"/>
        <v>8943</v>
      </c>
      <c r="G303" s="14">
        <v>5962</v>
      </c>
      <c r="H303" s="35" t="s">
        <v>595</v>
      </c>
    </row>
    <row r="304" spans="1:8" x14ac:dyDescent="0.2">
      <c r="A304" s="14">
        <v>2015</v>
      </c>
      <c r="B304" s="14" t="s">
        <v>84</v>
      </c>
      <c r="C304" s="14" t="s">
        <v>90</v>
      </c>
      <c r="D304" s="14" t="s">
        <v>137</v>
      </c>
      <c r="E304" s="14" t="s">
        <v>117</v>
      </c>
      <c r="F304" s="75">
        <f t="shared" si="14"/>
        <v>2395.5</v>
      </c>
      <c r="G304" s="14">
        <v>1597</v>
      </c>
      <c r="H304" s="35" t="s">
        <v>596</v>
      </c>
    </row>
    <row r="305" spans="1:8" x14ac:dyDescent="0.2">
      <c r="A305" s="14">
        <v>2015</v>
      </c>
      <c r="B305" s="14" t="s">
        <v>84</v>
      </c>
      <c r="C305" s="14" t="s">
        <v>90</v>
      </c>
      <c r="D305" s="14" t="s">
        <v>137</v>
      </c>
      <c r="E305" s="14" t="s">
        <v>117</v>
      </c>
      <c r="F305" s="75">
        <f t="shared" si="14"/>
        <v>11761.5</v>
      </c>
      <c r="G305" s="14">
        <v>7841</v>
      </c>
      <c r="H305" s="35" t="s">
        <v>597</v>
      </c>
    </row>
    <row r="306" spans="1:8" x14ac:dyDescent="0.2">
      <c r="A306" s="14">
        <v>2015</v>
      </c>
      <c r="B306" s="14" t="s">
        <v>84</v>
      </c>
      <c r="C306" s="14" t="s">
        <v>138</v>
      </c>
      <c r="D306" s="14" t="s">
        <v>137</v>
      </c>
      <c r="E306" s="14" t="s">
        <v>117</v>
      </c>
      <c r="F306" s="75">
        <f t="shared" si="14"/>
        <v>8943</v>
      </c>
      <c r="G306" s="14">
        <v>5962</v>
      </c>
      <c r="H306" s="35" t="s">
        <v>598</v>
      </c>
    </row>
    <row r="307" spans="1:8" x14ac:dyDescent="0.2">
      <c r="A307" s="14">
        <v>2015</v>
      </c>
      <c r="B307" s="14" t="s">
        <v>84</v>
      </c>
      <c r="C307" s="14" t="s">
        <v>138</v>
      </c>
      <c r="D307" s="14" t="s">
        <v>293</v>
      </c>
      <c r="E307" s="14" t="s">
        <v>142</v>
      </c>
      <c r="F307" s="75">
        <v>14596.5</v>
      </c>
      <c r="G307" s="14">
        <v>9731</v>
      </c>
      <c r="H307" s="35" t="s">
        <v>599</v>
      </c>
    </row>
    <row r="308" spans="1:8" x14ac:dyDescent="0.2">
      <c r="A308" s="14">
        <v>2015</v>
      </c>
      <c r="B308" s="14" t="s">
        <v>84</v>
      </c>
      <c r="C308" s="14" t="s">
        <v>140</v>
      </c>
      <c r="D308" s="14" t="s">
        <v>293</v>
      </c>
      <c r="E308" s="14" t="s">
        <v>142</v>
      </c>
      <c r="F308" s="75">
        <v>8793</v>
      </c>
      <c r="G308" s="14">
        <v>5862</v>
      </c>
      <c r="H308" s="35" t="s">
        <v>600</v>
      </c>
    </row>
    <row r="309" spans="1:8" x14ac:dyDescent="0.2">
      <c r="A309" s="14">
        <v>2015</v>
      </c>
      <c r="B309" s="14" t="s">
        <v>84</v>
      </c>
      <c r="C309" s="14" t="s">
        <v>138</v>
      </c>
      <c r="D309" s="14" t="s">
        <v>293</v>
      </c>
      <c r="E309" s="14" t="s">
        <v>142</v>
      </c>
      <c r="F309" s="75">
        <v>14596.5</v>
      </c>
      <c r="G309" s="14">
        <v>9731</v>
      </c>
      <c r="H309" s="35" t="s">
        <v>601</v>
      </c>
    </row>
    <row r="310" spans="1:8" x14ac:dyDescent="0.2">
      <c r="A310" s="14">
        <v>2015</v>
      </c>
      <c r="B310" s="14" t="s">
        <v>84</v>
      </c>
      <c r="C310" s="14" t="s">
        <v>140</v>
      </c>
      <c r="D310" s="14" t="s">
        <v>293</v>
      </c>
      <c r="E310" s="14" t="s">
        <v>142</v>
      </c>
      <c r="F310" s="75">
        <v>8793</v>
      </c>
      <c r="G310" s="14">
        <v>5862</v>
      </c>
      <c r="H310" s="35" t="s">
        <v>602</v>
      </c>
    </row>
    <row r="311" spans="1:8" x14ac:dyDescent="0.2">
      <c r="A311" s="14">
        <v>2015</v>
      </c>
      <c r="B311" s="14" t="s">
        <v>84</v>
      </c>
      <c r="C311" s="14" t="s">
        <v>90</v>
      </c>
      <c r="D311" s="14" t="s">
        <v>294</v>
      </c>
      <c r="E311" s="14" t="s">
        <v>115</v>
      </c>
      <c r="F311" s="75">
        <v>4666</v>
      </c>
      <c r="G311" s="14">
        <v>5623</v>
      </c>
      <c r="H311" s="35" t="s">
        <v>603</v>
      </c>
    </row>
    <row r="312" spans="1:8" x14ac:dyDescent="0.2">
      <c r="A312" s="14">
        <v>2015</v>
      </c>
      <c r="B312" s="14" t="s">
        <v>84</v>
      </c>
      <c r="C312" s="14" t="s">
        <v>90</v>
      </c>
      <c r="D312" s="14" t="s">
        <v>294</v>
      </c>
      <c r="E312" s="14" t="s">
        <v>115</v>
      </c>
      <c r="F312" s="75">
        <f>G312*1.5</f>
        <v>7318.5</v>
      </c>
      <c r="G312" s="14">
        <v>4879</v>
      </c>
      <c r="H312" s="35" t="s">
        <v>604</v>
      </c>
    </row>
    <row r="313" spans="1:8" x14ac:dyDescent="0.2">
      <c r="A313" s="14">
        <v>2015</v>
      </c>
      <c r="B313" s="14" t="s">
        <v>84</v>
      </c>
      <c r="C313" s="14" t="s">
        <v>90</v>
      </c>
      <c r="D313" s="14" t="s">
        <v>294</v>
      </c>
      <c r="E313" s="14" t="s">
        <v>115</v>
      </c>
      <c r="F313" s="75">
        <v>4666</v>
      </c>
      <c r="G313" s="14">
        <v>5623</v>
      </c>
      <c r="H313" s="35" t="s">
        <v>605</v>
      </c>
    </row>
    <row r="314" spans="1:8" x14ac:dyDescent="0.2">
      <c r="A314" s="14">
        <v>2015</v>
      </c>
      <c r="B314" s="14" t="s">
        <v>84</v>
      </c>
      <c r="C314" s="14" t="s">
        <v>90</v>
      </c>
      <c r="D314" s="14" t="s">
        <v>294</v>
      </c>
      <c r="E314" s="14" t="s">
        <v>115</v>
      </c>
      <c r="F314" s="75">
        <f t="shared" ref="F314:F322" si="15">G314*1.5</f>
        <v>7318.5</v>
      </c>
      <c r="G314" s="14">
        <v>4879</v>
      </c>
      <c r="H314" s="35" t="s">
        <v>606</v>
      </c>
    </row>
    <row r="315" spans="1:8" x14ac:dyDescent="0.2">
      <c r="A315" s="14">
        <v>2015</v>
      </c>
      <c r="B315" s="14" t="s">
        <v>84</v>
      </c>
      <c r="C315" s="14" t="s">
        <v>143</v>
      </c>
      <c r="D315" s="14" t="s">
        <v>139</v>
      </c>
      <c r="E315" s="14" t="s">
        <v>118</v>
      </c>
      <c r="F315" s="75">
        <f t="shared" si="15"/>
        <v>3553.5</v>
      </c>
      <c r="G315" s="14">
        <v>2369</v>
      </c>
      <c r="H315" s="35" t="s">
        <v>607</v>
      </c>
    </row>
    <row r="316" spans="1:8" x14ac:dyDescent="0.2">
      <c r="A316" s="14">
        <v>2015</v>
      </c>
      <c r="B316" s="14" t="s">
        <v>84</v>
      </c>
      <c r="C316" s="14" t="s">
        <v>143</v>
      </c>
      <c r="D316" s="14" t="s">
        <v>139</v>
      </c>
      <c r="E316" s="14" t="s">
        <v>118</v>
      </c>
      <c r="F316" s="75">
        <f t="shared" si="15"/>
        <v>3553.5</v>
      </c>
      <c r="G316" s="14">
        <v>2369</v>
      </c>
      <c r="H316" s="35" t="s">
        <v>608</v>
      </c>
    </row>
    <row r="317" spans="1:8" x14ac:dyDescent="0.2">
      <c r="A317" s="14">
        <v>2015</v>
      </c>
      <c r="B317" s="14" t="s">
        <v>84</v>
      </c>
      <c r="C317" s="14" t="s">
        <v>138</v>
      </c>
      <c r="D317" s="14" t="s">
        <v>141</v>
      </c>
      <c r="E317" s="14" t="s">
        <v>142</v>
      </c>
      <c r="F317" s="75">
        <f t="shared" si="15"/>
        <v>14596.5</v>
      </c>
      <c r="G317" s="14">
        <v>9731</v>
      </c>
      <c r="H317" s="35" t="s">
        <v>609</v>
      </c>
    </row>
    <row r="318" spans="1:8" x14ac:dyDescent="0.2">
      <c r="A318" s="14">
        <v>2015</v>
      </c>
      <c r="B318" s="14" t="s">
        <v>84</v>
      </c>
      <c r="C318" s="14" t="s">
        <v>140</v>
      </c>
      <c r="D318" s="14" t="s">
        <v>141</v>
      </c>
      <c r="E318" s="14" t="s">
        <v>142</v>
      </c>
      <c r="F318" s="75">
        <f t="shared" si="15"/>
        <v>8793</v>
      </c>
      <c r="G318" s="14">
        <v>5862</v>
      </c>
      <c r="H318" s="35" t="s">
        <v>610</v>
      </c>
    </row>
    <row r="319" spans="1:8" x14ac:dyDescent="0.2">
      <c r="A319" s="14">
        <v>2015</v>
      </c>
      <c r="B319" s="14" t="s">
        <v>84</v>
      </c>
      <c r="C319" s="14" t="s">
        <v>138</v>
      </c>
      <c r="D319" s="14" t="s">
        <v>141</v>
      </c>
      <c r="E319" s="14" t="s">
        <v>142</v>
      </c>
      <c r="F319" s="75">
        <f t="shared" si="15"/>
        <v>14596.5</v>
      </c>
      <c r="G319" s="14">
        <v>9731</v>
      </c>
      <c r="H319" s="35" t="s">
        <v>611</v>
      </c>
    </row>
    <row r="320" spans="1:8" x14ac:dyDescent="0.2">
      <c r="A320" s="14">
        <v>2015</v>
      </c>
      <c r="B320" s="14" t="s">
        <v>84</v>
      </c>
      <c r="C320" s="14" t="s">
        <v>140</v>
      </c>
      <c r="D320" s="14" t="s">
        <v>141</v>
      </c>
      <c r="E320" s="14" t="s">
        <v>142</v>
      </c>
      <c r="F320" s="75">
        <f t="shared" si="15"/>
        <v>8793</v>
      </c>
      <c r="G320" s="14">
        <v>5862</v>
      </c>
      <c r="H320" s="35" t="s">
        <v>612</v>
      </c>
    </row>
    <row r="321" spans="1:8" x14ac:dyDescent="0.2">
      <c r="A321" s="14">
        <v>2015</v>
      </c>
      <c r="B321" s="14" t="s">
        <v>83</v>
      </c>
      <c r="C321" s="14" t="s">
        <v>90</v>
      </c>
      <c r="D321" s="14" t="s">
        <v>137</v>
      </c>
      <c r="E321" s="14" t="s">
        <v>117</v>
      </c>
      <c r="F321" s="75">
        <f t="shared" si="15"/>
        <v>4887</v>
      </c>
      <c r="G321" s="14">
        <v>3258</v>
      </c>
      <c r="H321" s="35" t="s">
        <v>613</v>
      </c>
    </row>
    <row r="322" spans="1:8" x14ac:dyDescent="0.2">
      <c r="A322" s="14">
        <v>2015</v>
      </c>
      <c r="B322" s="14" t="s">
        <v>83</v>
      </c>
      <c r="C322" s="14" t="s">
        <v>90</v>
      </c>
      <c r="D322" s="14" t="s">
        <v>137</v>
      </c>
      <c r="E322" s="14" t="s">
        <v>117</v>
      </c>
      <c r="F322" s="75">
        <f t="shared" si="15"/>
        <v>4887</v>
      </c>
      <c r="G322" s="14">
        <v>3258</v>
      </c>
      <c r="H322" s="35" t="s">
        <v>614</v>
      </c>
    </row>
    <row r="323" spans="1:8" x14ac:dyDescent="0.2">
      <c r="A323" s="14">
        <v>2015</v>
      </c>
      <c r="B323" s="14" t="s">
        <v>83</v>
      </c>
      <c r="C323" s="14" t="s">
        <v>140</v>
      </c>
      <c r="D323" s="14" t="s">
        <v>293</v>
      </c>
      <c r="E323" s="14" t="s">
        <v>142</v>
      </c>
      <c r="F323" s="75">
        <v>11122.5</v>
      </c>
      <c r="G323" s="14">
        <v>7415</v>
      </c>
      <c r="H323" s="35" t="s">
        <v>615</v>
      </c>
    </row>
    <row r="324" spans="1:8" x14ac:dyDescent="0.2">
      <c r="A324" s="14">
        <v>2015</v>
      </c>
      <c r="B324" s="14" t="s">
        <v>83</v>
      </c>
      <c r="C324" s="14" t="s">
        <v>90</v>
      </c>
      <c r="D324" s="14" t="s">
        <v>293</v>
      </c>
      <c r="E324" s="14" t="s">
        <v>142</v>
      </c>
      <c r="F324" s="75">
        <v>13428</v>
      </c>
      <c r="G324" s="14">
        <v>8952</v>
      </c>
      <c r="H324" s="35" t="s">
        <v>616</v>
      </c>
    </row>
    <row r="325" spans="1:8" x14ac:dyDescent="0.2">
      <c r="A325" s="14">
        <v>2015</v>
      </c>
      <c r="B325" s="14" t="s">
        <v>83</v>
      </c>
      <c r="C325" s="14" t="s">
        <v>140</v>
      </c>
      <c r="D325" s="14" t="s">
        <v>293</v>
      </c>
      <c r="E325" s="14" t="s">
        <v>142</v>
      </c>
      <c r="F325" s="75">
        <v>11122.5</v>
      </c>
      <c r="G325" s="14">
        <v>7415</v>
      </c>
      <c r="H325" s="35" t="s">
        <v>617</v>
      </c>
    </row>
    <row r="326" spans="1:8" x14ac:dyDescent="0.2">
      <c r="A326" s="14">
        <v>2015</v>
      </c>
      <c r="B326" s="14" t="s">
        <v>83</v>
      </c>
      <c r="C326" s="14" t="s">
        <v>90</v>
      </c>
      <c r="D326" s="14" t="s">
        <v>293</v>
      </c>
      <c r="E326" s="14" t="s">
        <v>142</v>
      </c>
      <c r="F326" s="75">
        <v>13428</v>
      </c>
      <c r="G326" s="14">
        <v>8952</v>
      </c>
      <c r="H326" s="35" t="s">
        <v>618</v>
      </c>
    </row>
    <row r="327" spans="1:8" x14ac:dyDescent="0.2">
      <c r="A327" s="14">
        <v>2015</v>
      </c>
      <c r="B327" s="14" t="s">
        <v>83</v>
      </c>
      <c r="C327" s="14" t="s">
        <v>138</v>
      </c>
      <c r="D327" s="14" t="s">
        <v>294</v>
      </c>
      <c r="E327" s="14" t="s">
        <v>115</v>
      </c>
      <c r="F327" s="75">
        <v>3897</v>
      </c>
      <c r="G327" s="14">
        <v>2598</v>
      </c>
      <c r="H327" s="35" t="s">
        <v>619</v>
      </c>
    </row>
    <row r="328" spans="1:8" x14ac:dyDescent="0.2">
      <c r="A328" s="14">
        <v>2015</v>
      </c>
      <c r="B328" s="14" t="s">
        <v>83</v>
      </c>
      <c r="C328" s="14" t="s">
        <v>138</v>
      </c>
      <c r="D328" s="14" t="s">
        <v>294</v>
      </c>
      <c r="E328" s="14" t="s">
        <v>115</v>
      </c>
      <c r="F328" s="75">
        <v>8832</v>
      </c>
      <c r="G328" s="14">
        <v>5888</v>
      </c>
      <c r="H328" s="35" t="s">
        <v>620</v>
      </c>
    </row>
    <row r="329" spans="1:8" x14ac:dyDescent="0.2">
      <c r="A329" s="14">
        <v>2015</v>
      </c>
      <c r="B329" s="14" t="s">
        <v>83</v>
      </c>
      <c r="C329" s="14" t="s">
        <v>138</v>
      </c>
      <c r="D329" s="14" t="s">
        <v>294</v>
      </c>
      <c r="E329" s="14" t="s">
        <v>115</v>
      </c>
      <c r="F329" s="75">
        <v>3897</v>
      </c>
      <c r="G329" s="14">
        <v>2598</v>
      </c>
      <c r="H329" s="35" t="s">
        <v>621</v>
      </c>
    </row>
    <row r="330" spans="1:8" x14ac:dyDescent="0.2">
      <c r="A330" s="14">
        <v>2015</v>
      </c>
      <c r="B330" s="14" t="s">
        <v>83</v>
      </c>
      <c r="C330" s="14" t="s">
        <v>138</v>
      </c>
      <c r="D330" s="14" t="s">
        <v>294</v>
      </c>
      <c r="E330" s="14" t="s">
        <v>115</v>
      </c>
      <c r="F330" s="75">
        <v>8832</v>
      </c>
      <c r="G330" s="14">
        <v>5888</v>
      </c>
      <c r="H330" s="35" t="s">
        <v>622</v>
      </c>
    </row>
    <row r="331" spans="1:8" x14ac:dyDescent="0.2">
      <c r="A331" s="14">
        <v>2015</v>
      </c>
      <c r="B331" s="14" t="s">
        <v>83</v>
      </c>
      <c r="C331" s="14" t="s">
        <v>140</v>
      </c>
      <c r="D331" s="14" t="s">
        <v>139</v>
      </c>
      <c r="E331" s="14" t="s">
        <v>118</v>
      </c>
      <c r="F331" s="75">
        <f t="shared" ref="F331:F342" si="16">G331*1.5</f>
        <v>11122.5</v>
      </c>
      <c r="G331" s="14">
        <v>7415</v>
      </c>
      <c r="H331" s="35" t="s">
        <v>623</v>
      </c>
    </row>
    <row r="332" spans="1:8" x14ac:dyDescent="0.2">
      <c r="A332" s="14">
        <v>2015</v>
      </c>
      <c r="B332" s="14" t="s">
        <v>83</v>
      </c>
      <c r="C332" s="14" t="s">
        <v>138</v>
      </c>
      <c r="D332" s="14" t="s">
        <v>139</v>
      </c>
      <c r="E332" s="14" t="s">
        <v>118</v>
      </c>
      <c r="F332" s="75">
        <f t="shared" si="16"/>
        <v>14647.5</v>
      </c>
      <c r="G332" s="14">
        <v>9765</v>
      </c>
      <c r="H332" s="35" t="s">
        <v>624</v>
      </c>
    </row>
    <row r="333" spans="1:8" x14ac:dyDescent="0.2">
      <c r="A333" s="14">
        <v>2015</v>
      </c>
      <c r="B333" s="14" t="s">
        <v>83</v>
      </c>
      <c r="C333" s="14" t="s">
        <v>140</v>
      </c>
      <c r="D333" s="14" t="s">
        <v>139</v>
      </c>
      <c r="E333" s="14" t="s">
        <v>118</v>
      </c>
      <c r="F333" s="75">
        <f t="shared" si="16"/>
        <v>11122.5</v>
      </c>
      <c r="G333" s="14">
        <v>7415</v>
      </c>
      <c r="H333" s="35" t="s">
        <v>625</v>
      </c>
    </row>
    <row r="334" spans="1:8" x14ac:dyDescent="0.2">
      <c r="A334" s="14">
        <v>2015</v>
      </c>
      <c r="B334" s="14" t="s">
        <v>83</v>
      </c>
      <c r="C334" s="14" t="s">
        <v>138</v>
      </c>
      <c r="D334" s="14" t="s">
        <v>139</v>
      </c>
      <c r="E334" s="14" t="s">
        <v>118</v>
      </c>
      <c r="F334" s="75">
        <f t="shared" si="16"/>
        <v>14647.5</v>
      </c>
      <c r="G334" s="14">
        <v>9765</v>
      </c>
      <c r="H334" s="35" t="s">
        <v>626</v>
      </c>
    </row>
    <row r="335" spans="1:8" x14ac:dyDescent="0.2">
      <c r="A335" s="14">
        <v>2015</v>
      </c>
      <c r="B335" s="14" t="s">
        <v>83</v>
      </c>
      <c r="C335" s="14" t="s">
        <v>90</v>
      </c>
      <c r="D335" s="14" t="s">
        <v>141</v>
      </c>
      <c r="E335" s="14" t="s">
        <v>142</v>
      </c>
      <c r="F335" s="75">
        <f t="shared" si="16"/>
        <v>13428</v>
      </c>
      <c r="G335" s="14">
        <v>8952</v>
      </c>
      <c r="H335" s="35" t="s">
        <v>627</v>
      </c>
    </row>
    <row r="336" spans="1:8" x14ac:dyDescent="0.2">
      <c r="A336" s="14">
        <v>2015</v>
      </c>
      <c r="B336" s="14" t="s">
        <v>83</v>
      </c>
      <c r="C336" s="14" t="s">
        <v>143</v>
      </c>
      <c r="D336" s="14" t="s">
        <v>141</v>
      </c>
      <c r="E336" s="14" t="s">
        <v>142</v>
      </c>
      <c r="F336" s="75">
        <f t="shared" si="16"/>
        <v>7480.5</v>
      </c>
      <c r="G336" s="14">
        <v>4987</v>
      </c>
      <c r="H336" s="35" t="s">
        <v>628</v>
      </c>
    </row>
    <row r="337" spans="1:8" x14ac:dyDescent="0.2">
      <c r="A337" s="14">
        <v>2015</v>
      </c>
      <c r="B337" s="14" t="s">
        <v>83</v>
      </c>
      <c r="C337" s="14" t="s">
        <v>90</v>
      </c>
      <c r="D337" s="14" t="s">
        <v>141</v>
      </c>
      <c r="E337" s="14" t="s">
        <v>142</v>
      </c>
      <c r="F337" s="75">
        <f t="shared" si="16"/>
        <v>13428</v>
      </c>
      <c r="G337" s="14">
        <v>8952</v>
      </c>
      <c r="H337" s="35" t="s">
        <v>629</v>
      </c>
    </row>
    <row r="338" spans="1:8" x14ac:dyDescent="0.2">
      <c r="A338" s="14">
        <v>2015</v>
      </c>
      <c r="B338" s="14" t="s">
        <v>83</v>
      </c>
      <c r="C338" s="14" t="s">
        <v>143</v>
      </c>
      <c r="D338" s="14" t="s">
        <v>141</v>
      </c>
      <c r="E338" s="14" t="s">
        <v>142</v>
      </c>
      <c r="F338" s="75">
        <f t="shared" si="16"/>
        <v>7480.5</v>
      </c>
      <c r="G338" s="14">
        <v>4987</v>
      </c>
      <c r="H338" s="35" t="s">
        <v>630</v>
      </c>
    </row>
    <row r="339" spans="1:8" x14ac:dyDescent="0.2">
      <c r="A339" s="14">
        <v>2015</v>
      </c>
      <c r="B339" s="14" t="s">
        <v>87</v>
      </c>
      <c r="C339" s="14" t="s">
        <v>140</v>
      </c>
      <c r="D339" s="14" t="s">
        <v>137</v>
      </c>
      <c r="E339" s="14" t="s">
        <v>117</v>
      </c>
      <c r="F339" s="75">
        <f t="shared" si="16"/>
        <v>14619</v>
      </c>
      <c r="G339" s="14">
        <v>9746</v>
      </c>
      <c r="H339" s="35" t="s">
        <v>631</v>
      </c>
    </row>
    <row r="340" spans="1:8" x14ac:dyDescent="0.2">
      <c r="A340" s="14">
        <v>2015</v>
      </c>
      <c r="B340" s="14" t="s">
        <v>87</v>
      </c>
      <c r="C340" s="14" t="s">
        <v>90</v>
      </c>
      <c r="D340" s="14" t="s">
        <v>137</v>
      </c>
      <c r="E340" s="14" t="s">
        <v>117</v>
      </c>
      <c r="F340" s="75">
        <f t="shared" si="16"/>
        <v>867</v>
      </c>
      <c r="G340" s="14">
        <v>578</v>
      </c>
      <c r="H340" s="35" t="s">
        <v>632</v>
      </c>
    </row>
    <row r="341" spans="1:8" x14ac:dyDescent="0.2">
      <c r="A341" s="14">
        <v>2015</v>
      </c>
      <c r="B341" s="14" t="s">
        <v>87</v>
      </c>
      <c r="C341" s="14" t="s">
        <v>140</v>
      </c>
      <c r="D341" s="14" t="s">
        <v>137</v>
      </c>
      <c r="E341" s="14" t="s">
        <v>117</v>
      </c>
      <c r="F341" s="75">
        <f t="shared" si="16"/>
        <v>14619</v>
      </c>
      <c r="G341" s="14">
        <v>9746</v>
      </c>
      <c r="H341" s="35" t="s">
        <v>633</v>
      </c>
    </row>
    <row r="342" spans="1:8" x14ac:dyDescent="0.2">
      <c r="A342" s="14">
        <v>2015</v>
      </c>
      <c r="B342" s="14" t="s">
        <v>87</v>
      </c>
      <c r="C342" s="14" t="s">
        <v>90</v>
      </c>
      <c r="D342" s="14" t="s">
        <v>137</v>
      </c>
      <c r="E342" s="14" t="s">
        <v>117</v>
      </c>
      <c r="F342" s="75">
        <f t="shared" si="16"/>
        <v>867</v>
      </c>
      <c r="G342" s="14">
        <v>578</v>
      </c>
      <c r="H342" s="35" t="s">
        <v>634</v>
      </c>
    </row>
    <row r="343" spans="1:8" x14ac:dyDescent="0.2">
      <c r="A343" s="14">
        <v>2015</v>
      </c>
      <c r="B343" s="14" t="s">
        <v>87</v>
      </c>
      <c r="C343" s="14" t="s">
        <v>140</v>
      </c>
      <c r="D343" s="14" t="s">
        <v>293</v>
      </c>
      <c r="E343" s="14" t="s">
        <v>142</v>
      </c>
      <c r="F343" s="75">
        <v>14619</v>
      </c>
      <c r="G343" s="14">
        <v>9746</v>
      </c>
      <c r="H343" s="35" t="s">
        <v>635</v>
      </c>
    </row>
    <row r="344" spans="1:8" x14ac:dyDescent="0.2">
      <c r="A344" s="14">
        <v>2015</v>
      </c>
      <c r="B344" s="14" t="s">
        <v>87</v>
      </c>
      <c r="C344" s="14" t="s">
        <v>90</v>
      </c>
      <c r="D344" s="14" t="s">
        <v>293</v>
      </c>
      <c r="E344" s="14" t="s">
        <v>142</v>
      </c>
      <c r="F344" s="75">
        <v>5380.5</v>
      </c>
      <c r="G344" s="14">
        <v>3587</v>
      </c>
      <c r="H344" s="35" t="s">
        <v>636</v>
      </c>
    </row>
    <row r="345" spans="1:8" x14ac:dyDescent="0.2">
      <c r="A345" s="14">
        <v>2015</v>
      </c>
      <c r="B345" s="14" t="s">
        <v>87</v>
      </c>
      <c r="C345" s="14" t="s">
        <v>140</v>
      </c>
      <c r="D345" s="14" t="s">
        <v>293</v>
      </c>
      <c r="E345" s="14" t="s">
        <v>142</v>
      </c>
      <c r="F345" s="75">
        <v>14619</v>
      </c>
      <c r="G345" s="14">
        <v>9746</v>
      </c>
      <c r="H345" s="35" t="s">
        <v>637</v>
      </c>
    </row>
    <row r="346" spans="1:8" x14ac:dyDescent="0.2">
      <c r="A346" s="14">
        <v>2015</v>
      </c>
      <c r="B346" s="14" t="s">
        <v>87</v>
      </c>
      <c r="C346" s="14" t="s">
        <v>90</v>
      </c>
      <c r="D346" s="14" t="s">
        <v>293</v>
      </c>
      <c r="E346" s="14" t="s">
        <v>142</v>
      </c>
      <c r="F346" s="75">
        <v>5380.5</v>
      </c>
      <c r="G346" s="14">
        <v>3587</v>
      </c>
      <c r="H346" s="35" t="s">
        <v>638</v>
      </c>
    </row>
    <row r="347" spans="1:8" x14ac:dyDescent="0.2">
      <c r="A347" s="14">
        <v>2015</v>
      </c>
      <c r="B347" s="14" t="s">
        <v>87</v>
      </c>
      <c r="C347" s="14" t="s">
        <v>140</v>
      </c>
      <c r="D347" s="14" t="s">
        <v>294</v>
      </c>
      <c r="E347" s="14" t="s">
        <v>115</v>
      </c>
      <c r="F347" s="75">
        <v>3547.5</v>
      </c>
      <c r="G347" s="14">
        <v>2365</v>
      </c>
      <c r="H347" s="35" t="s">
        <v>639</v>
      </c>
    </row>
    <row r="348" spans="1:8" x14ac:dyDescent="0.2">
      <c r="A348" s="14">
        <v>2015</v>
      </c>
      <c r="B348" s="14" t="s">
        <v>87</v>
      </c>
      <c r="C348" s="14" t="s">
        <v>138</v>
      </c>
      <c r="D348" s="14" t="s">
        <v>294</v>
      </c>
      <c r="E348" s="14" t="s">
        <v>115</v>
      </c>
      <c r="F348" s="75">
        <v>14596.5</v>
      </c>
      <c r="G348" s="14">
        <v>9731</v>
      </c>
      <c r="H348" s="35" t="s">
        <v>640</v>
      </c>
    </row>
    <row r="349" spans="1:8" x14ac:dyDescent="0.2">
      <c r="A349" s="14">
        <v>2015</v>
      </c>
      <c r="B349" s="14" t="s">
        <v>87</v>
      </c>
      <c r="C349" s="14" t="s">
        <v>140</v>
      </c>
      <c r="D349" s="14" t="s">
        <v>294</v>
      </c>
      <c r="E349" s="14" t="s">
        <v>115</v>
      </c>
      <c r="F349" s="75">
        <v>3547.5</v>
      </c>
      <c r="G349" s="14">
        <v>2365</v>
      </c>
      <c r="H349" s="35" t="s">
        <v>641</v>
      </c>
    </row>
    <row r="350" spans="1:8" x14ac:dyDescent="0.2">
      <c r="A350" s="14">
        <v>2015</v>
      </c>
      <c r="B350" s="14" t="s">
        <v>87</v>
      </c>
      <c r="C350" s="14" t="s">
        <v>138</v>
      </c>
      <c r="D350" s="14" t="s">
        <v>294</v>
      </c>
      <c r="E350" s="14" t="s">
        <v>115</v>
      </c>
      <c r="F350" s="75">
        <v>14596.5</v>
      </c>
      <c r="G350" s="14">
        <v>9731</v>
      </c>
      <c r="H350" s="35" t="s">
        <v>642</v>
      </c>
    </row>
    <row r="351" spans="1:8" x14ac:dyDescent="0.2">
      <c r="A351" s="14">
        <v>2015</v>
      </c>
      <c r="B351" s="14" t="s">
        <v>87</v>
      </c>
      <c r="C351" s="14" t="s">
        <v>138</v>
      </c>
      <c r="D351" s="14" t="s">
        <v>139</v>
      </c>
      <c r="E351" s="14" t="s">
        <v>118</v>
      </c>
      <c r="F351" s="75">
        <f t="shared" ref="F351:F362" si="17">G351*1.5</f>
        <v>1498.5</v>
      </c>
      <c r="G351" s="14">
        <v>999</v>
      </c>
      <c r="H351" s="35" t="s">
        <v>643</v>
      </c>
    </row>
    <row r="352" spans="1:8" x14ac:dyDescent="0.2">
      <c r="A352" s="14">
        <v>2015</v>
      </c>
      <c r="B352" s="14" t="s">
        <v>87</v>
      </c>
      <c r="C352" s="14" t="s">
        <v>140</v>
      </c>
      <c r="D352" s="14" t="s">
        <v>139</v>
      </c>
      <c r="E352" s="14" t="s">
        <v>118</v>
      </c>
      <c r="F352" s="75">
        <f t="shared" si="17"/>
        <v>235.5</v>
      </c>
      <c r="G352" s="14">
        <v>157</v>
      </c>
      <c r="H352" s="35" t="s">
        <v>644</v>
      </c>
    </row>
    <row r="353" spans="1:8" x14ac:dyDescent="0.2">
      <c r="A353" s="14">
        <v>2015</v>
      </c>
      <c r="B353" s="14" t="s">
        <v>87</v>
      </c>
      <c r="C353" s="14" t="s">
        <v>138</v>
      </c>
      <c r="D353" s="14" t="s">
        <v>139</v>
      </c>
      <c r="E353" s="14" t="s">
        <v>118</v>
      </c>
      <c r="F353" s="75">
        <f t="shared" si="17"/>
        <v>1498.5</v>
      </c>
      <c r="G353" s="14">
        <v>999</v>
      </c>
      <c r="H353" s="35" t="s">
        <v>645</v>
      </c>
    </row>
    <row r="354" spans="1:8" x14ac:dyDescent="0.2">
      <c r="A354" s="14">
        <v>2015</v>
      </c>
      <c r="B354" s="14" t="s">
        <v>87</v>
      </c>
      <c r="C354" s="14" t="s">
        <v>140</v>
      </c>
      <c r="D354" s="14" t="s">
        <v>139</v>
      </c>
      <c r="E354" s="14" t="s">
        <v>118</v>
      </c>
      <c r="F354" s="75">
        <f t="shared" si="17"/>
        <v>235.5</v>
      </c>
      <c r="G354" s="14">
        <v>157</v>
      </c>
      <c r="H354" s="35" t="s">
        <v>646</v>
      </c>
    </row>
    <row r="355" spans="1:8" x14ac:dyDescent="0.2">
      <c r="A355" s="14">
        <v>2015</v>
      </c>
      <c r="B355" s="14" t="s">
        <v>87</v>
      </c>
      <c r="C355" s="14" t="s">
        <v>90</v>
      </c>
      <c r="D355" s="14" t="s">
        <v>141</v>
      </c>
      <c r="E355" s="14" t="s">
        <v>142</v>
      </c>
      <c r="F355" s="75">
        <f t="shared" si="17"/>
        <v>5380.5</v>
      </c>
      <c r="G355" s="14">
        <v>3587</v>
      </c>
      <c r="H355" s="35" t="s">
        <v>647</v>
      </c>
    </row>
    <row r="356" spans="1:8" x14ac:dyDescent="0.2">
      <c r="A356" s="14">
        <v>2015</v>
      </c>
      <c r="B356" s="14" t="s">
        <v>87</v>
      </c>
      <c r="C356" s="14" t="s">
        <v>143</v>
      </c>
      <c r="D356" s="14" t="s">
        <v>141</v>
      </c>
      <c r="E356" s="14" t="s">
        <v>142</v>
      </c>
      <c r="F356" s="75">
        <f t="shared" si="17"/>
        <v>14446.5</v>
      </c>
      <c r="G356" s="14">
        <v>9631</v>
      </c>
      <c r="H356" s="35" t="s">
        <v>648</v>
      </c>
    </row>
    <row r="357" spans="1:8" x14ac:dyDescent="0.2">
      <c r="A357" s="14">
        <v>2015</v>
      </c>
      <c r="B357" s="14" t="s">
        <v>87</v>
      </c>
      <c r="C357" s="14" t="s">
        <v>90</v>
      </c>
      <c r="D357" s="14" t="s">
        <v>141</v>
      </c>
      <c r="E357" s="14" t="s">
        <v>142</v>
      </c>
      <c r="F357" s="75">
        <f t="shared" si="17"/>
        <v>5380.5</v>
      </c>
      <c r="G357" s="14">
        <v>3587</v>
      </c>
      <c r="H357" s="35" t="s">
        <v>649</v>
      </c>
    </row>
    <row r="358" spans="1:8" x14ac:dyDescent="0.2">
      <c r="A358" s="14">
        <v>2015</v>
      </c>
      <c r="B358" s="14" t="s">
        <v>87</v>
      </c>
      <c r="C358" s="14" t="s">
        <v>143</v>
      </c>
      <c r="D358" s="14" t="s">
        <v>141</v>
      </c>
      <c r="E358" s="14" t="s">
        <v>142</v>
      </c>
      <c r="F358" s="75">
        <f t="shared" si="17"/>
        <v>14446.5</v>
      </c>
      <c r="G358" s="14">
        <v>9631</v>
      </c>
      <c r="H358" s="35" t="s">
        <v>650</v>
      </c>
    </row>
    <row r="359" spans="1:8" x14ac:dyDescent="0.2">
      <c r="A359" s="14">
        <v>2015</v>
      </c>
      <c r="B359" s="14" t="s">
        <v>78</v>
      </c>
      <c r="C359" s="14" t="s">
        <v>143</v>
      </c>
      <c r="D359" s="14" t="s">
        <v>137</v>
      </c>
      <c r="E359" s="14" t="s">
        <v>117</v>
      </c>
      <c r="F359" s="75">
        <f t="shared" si="17"/>
        <v>2367</v>
      </c>
      <c r="G359" s="14">
        <v>1578</v>
      </c>
      <c r="H359" s="35" t="s">
        <v>651</v>
      </c>
    </row>
    <row r="360" spans="1:8" x14ac:dyDescent="0.2">
      <c r="A360" s="14">
        <v>2015</v>
      </c>
      <c r="B360" s="14" t="s">
        <v>78</v>
      </c>
      <c r="C360" s="14" t="s">
        <v>140</v>
      </c>
      <c r="D360" s="14" t="s">
        <v>137</v>
      </c>
      <c r="E360" s="14" t="s">
        <v>117</v>
      </c>
      <c r="F360" s="75">
        <f t="shared" si="17"/>
        <v>6880.5</v>
      </c>
      <c r="G360" s="14">
        <v>4587</v>
      </c>
      <c r="H360" s="35" t="s">
        <v>652</v>
      </c>
    </row>
    <row r="361" spans="1:8" x14ac:dyDescent="0.2">
      <c r="A361" s="14">
        <v>2015</v>
      </c>
      <c r="B361" s="14" t="s">
        <v>78</v>
      </c>
      <c r="C361" s="14" t="s">
        <v>143</v>
      </c>
      <c r="D361" s="14" t="s">
        <v>137</v>
      </c>
      <c r="E361" s="14" t="s">
        <v>117</v>
      </c>
      <c r="F361" s="75">
        <f t="shared" si="17"/>
        <v>2367</v>
      </c>
      <c r="G361" s="14">
        <v>1578</v>
      </c>
      <c r="H361" s="35" t="s">
        <v>653</v>
      </c>
    </row>
    <row r="362" spans="1:8" x14ac:dyDescent="0.2">
      <c r="A362" s="14">
        <v>2015</v>
      </c>
      <c r="B362" s="14" t="s">
        <v>78</v>
      </c>
      <c r="C362" s="14" t="s">
        <v>140</v>
      </c>
      <c r="D362" s="14" t="s">
        <v>137</v>
      </c>
      <c r="E362" s="14" t="s">
        <v>117</v>
      </c>
      <c r="F362" s="75">
        <f t="shared" si="17"/>
        <v>6880.5</v>
      </c>
      <c r="G362" s="14">
        <v>4587</v>
      </c>
      <c r="H362" s="35" t="s">
        <v>654</v>
      </c>
    </row>
    <row r="363" spans="1:8" x14ac:dyDescent="0.2">
      <c r="A363" s="14">
        <v>2015</v>
      </c>
      <c r="B363" s="14" t="s">
        <v>78</v>
      </c>
      <c r="C363" s="14" t="s">
        <v>90</v>
      </c>
      <c r="D363" s="14" t="s">
        <v>293</v>
      </c>
      <c r="E363" s="14" t="s">
        <v>142</v>
      </c>
      <c r="F363" s="75">
        <v>11838</v>
      </c>
      <c r="G363" s="14">
        <v>7892</v>
      </c>
      <c r="H363" s="35" t="s">
        <v>655</v>
      </c>
    </row>
    <row r="364" spans="1:8" x14ac:dyDescent="0.2">
      <c r="A364" s="14">
        <v>2015</v>
      </c>
      <c r="B364" s="14" t="s">
        <v>78</v>
      </c>
      <c r="C364" s="14" t="s">
        <v>143</v>
      </c>
      <c r="D364" s="14" t="s">
        <v>293</v>
      </c>
      <c r="E364" s="14" t="s">
        <v>142</v>
      </c>
      <c r="F364" s="75">
        <v>2367</v>
      </c>
      <c r="G364" s="14">
        <v>1578</v>
      </c>
      <c r="H364" s="35" t="s">
        <v>656</v>
      </c>
    </row>
    <row r="365" spans="1:8" x14ac:dyDescent="0.2">
      <c r="A365" s="14">
        <v>2015</v>
      </c>
      <c r="B365" s="14" t="s">
        <v>78</v>
      </c>
      <c r="C365" s="14" t="s">
        <v>90</v>
      </c>
      <c r="D365" s="14" t="s">
        <v>293</v>
      </c>
      <c r="E365" s="14" t="s">
        <v>142</v>
      </c>
      <c r="F365" s="75">
        <v>7030.5</v>
      </c>
      <c r="G365" s="14">
        <v>4687</v>
      </c>
      <c r="H365" s="35" t="s">
        <v>657</v>
      </c>
    </row>
    <row r="366" spans="1:8" x14ac:dyDescent="0.2">
      <c r="A366" s="14">
        <v>2015</v>
      </c>
      <c r="B366" s="14" t="s">
        <v>78</v>
      </c>
      <c r="C366" s="14" t="s">
        <v>138</v>
      </c>
      <c r="D366" s="14" t="s">
        <v>293</v>
      </c>
      <c r="E366" s="14" t="s">
        <v>142</v>
      </c>
      <c r="F366" s="75">
        <v>2046</v>
      </c>
      <c r="G366" s="14">
        <v>1364</v>
      </c>
      <c r="H366" s="35" t="s">
        <v>658</v>
      </c>
    </row>
    <row r="367" spans="1:8" x14ac:dyDescent="0.2">
      <c r="A367" s="14">
        <v>2015</v>
      </c>
      <c r="B367" s="14" t="s">
        <v>78</v>
      </c>
      <c r="C367" s="14" t="s">
        <v>90</v>
      </c>
      <c r="D367" s="14" t="s">
        <v>293</v>
      </c>
      <c r="E367" s="14" t="s">
        <v>142</v>
      </c>
      <c r="F367" s="75">
        <v>11838</v>
      </c>
      <c r="G367" s="14">
        <v>7892</v>
      </c>
      <c r="H367" s="35" t="s">
        <v>659</v>
      </c>
    </row>
    <row r="368" spans="1:8" x14ac:dyDescent="0.2">
      <c r="A368" s="14">
        <v>2015</v>
      </c>
      <c r="B368" s="14" t="s">
        <v>78</v>
      </c>
      <c r="C368" s="14" t="s">
        <v>143</v>
      </c>
      <c r="D368" s="14" t="s">
        <v>293</v>
      </c>
      <c r="E368" s="14" t="s">
        <v>142</v>
      </c>
      <c r="F368" s="75">
        <v>2367</v>
      </c>
      <c r="G368" s="14">
        <v>1578</v>
      </c>
      <c r="H368" s="35" t="s">
        <v>660</v>
      </c>
    </row>
    <row r="369" spans="1:8" x14ac:dyDescent="0.2">
      <c r="A369" s="14">
        <v>2015</v>
      </c>
      <c r="B369" s="14" t="s">
        <v>78</v>
      </c>
      <c r="C369" s="14" t="s">
        <v>90</v>
      </c>
      <c r="D369" s="14" t="s">
        <v>293</v>
      </c>
      <c r="E369" s="14" t="s">
        <v>142</v>
      </c>
      <c r="F369" s="75">
        <v>7030.5</v>
      </c>
      <c r="G369" s="14">
        <v>4687</v>
      </c>
      <c r="H369" s="35" t="s">
        <v>661</v>
      </c>
    </row>
    <row r="370" spans="1:8" x14ac:dyDescent="0.2">
      <c r="A370" s="14">
        <v>2015</v>
      </c>
      <c r="B370" s="14" t="s">
        <v>78</v>
      </c>
      <c r="C370" s="14" t="s">
        <v>138</v>
      </c>
      <c r="D370" s="14" t="s">
        <v>293</v>
      </c>
      <c r="E370" s="14" t="s">
        <v>142</v>
      </c>
      <c r="F370" s="75">
        <v>2046</v>
      </c>
      <c r="G370" s="14">
        <v>1364</v>
      </c>
      <c r="H370" s="35" t="s">
        <v>662</v>
      </c>
    </row>
    <row r="371" spans="1:8" x14ac:dyDescent="0.2">
      <c r="A371" s="14">
        <v>2015</v>
      </c>
      <c r="B371" s="14" t="s">
        <v>78</v>
      </c>
      <c r="C371" s="14" t="s">
        <v>140</v>
      </c>
      <c r="D371" s="14" t="s">
        <v>294</v>
      </c>
      <c r="E371" s="14" t="s">
        <v>115</v>
      </c>
      <c r="F371" s="75">
        <v>8793</v>
      </c>
      <c r="G371" s="14">
        <v>5862</v>
      </c>
      <c r="H371" s="35" t="s">
        <v>663</v>
      </c>
    </row>
    <row r="372" spans="1:8" x14ac:dyDescent="0.2">
      <c r="A372" s="14">
        <v>2015</v>
      </c>
      <c r="B372" s="14" t="s">
        <v>78</v>
      </c>
      <c r="C372" s="14" t="s">
        <v>140</v>
      </c>
      <c r="D372" s="14" t="s">
        <v>294</v>
      </c>
      <c r="E372" s="14" t="s">
        <v>115</v>
      </c>
      <c r="F372" s="75">
        <v>11122.5</v>
      </c>
      <c r="G372" s="14">
        <v>7415</v>
      </c>
      <c r="H372" s="35" t="s">
        <v>664</v>
      </c>
    </row>
    <row r="373" spans="1:8" x14ac:dyDescent="0.2">
      <c r="A373" s="14">
        <v>2015</v>
      </c>
      <c r="B373" s="14" t="s">
        <v>78</v>
      </c>
      <c r="C373" s="14" t="s">
        <v>90</v>
      </c>
      <c r="D373" s="14" t="s">
        <v>294</v>
      </c>
      <c r="E373" s="14" t="s">
        <v>115</v>
      </c>
      <c r="F373" s="75">
        <v>13428</v>
      </c>
      <c r="G373" s="14">
        <v>8952</v>
      </c>
      <c r="H373" s="35" t="s">
        <v>665</v>
      </c>
    </row>
    <row r="374" spans="1:8" x14ac:dyDescent="0.2">
      <c r="A374" s="14">
        <v>2015</v>
      </c>
      <c r="B374" s="14" t="s">
        <v>78</v>
      </c>
      <c r="C374" s="14" t="s">
        <v>140</v>
      </c>
      <c r="D374" s="14" t="s">
        <v>294</v>
      </c>
      <c r="E374" s="14" t="s">
        <v>115</v>
      </c>
      <c r="F374" s="75">
        <v>14619</v>
      </c>
      <c r="G374" s="14">
        <v>9746</v>
      </c>
      <c r="H374" s="35" t="s">
        <v>666</v>
      </c>
    </row>
    <row r="375" spans="1:8" x14ac:dyDescent="0.2">
      <c r="A375" s="14">
        <v>2015</v>
      </c>
      <c r="B375" s="14" t="s">
        <v>78</v>
      </c>
      <c r="C375" s="14" t="s">
        <v>143</v>
      </c>
      <c r="D375" s="14" t="s">
        <v>294</v>
      </c>
      <c r="E375" s="14" t="s">
        <v>115</v>
      </c>
      <c r="F375" s="75">
        <v>2367</v>
      </c>
      <c r="G375" s="14">
        <v>1578</v>
      </c>
      <c r="H375" s="35" t="s">
        <v>667</v>
      </c>
    </row>
    <row r="376" spans="1:8" x14ac:dyDescent="0.2">
      <c r="A376" s="14">
        <v>2015</v>
      </c>
      <c r="B376" s="14" t="s">
        <v>78</v>
      </c>
      <c r="C376" s="14" t="s">
        <v>140</v>
      </c>
      <c r="D376" s="14" t="s">
        <v>294</v>
      </c>
      <c r="E376" s="14" t="s">
        <v>115</v>
      </c>
      <c r="F376" s="75">
        <v>8793</v>
      </c>
      <c r="G376" s="14">
        <v>5862</v>
      </c>
      <c r="H376" s="35" t="s">
        <v>668</v>
      </c>
    </row>
    <row r="377" spans="1:8" x14ac:dyDescent="0.2">
      <c r="A377" s="14">
        <v>2015</v>
      </c>
      <c r="B377" s="14" t="s">
        <v>78</v>
      </c>
      <c r="C377" s="14" t="s">
        <v>140</v>
      </c>
      <c r="D377" s="14" t="s">
        <v>294</v>
      </c>
      <c r="E377" s="14" t="s">
        <v>115</v>
      </c>
      <c r="F377" s="75">
        <v>11122.5</v>
      </c>
      <c r="G377" s="14">
        <v>7415</v>
      </c>
      <c r="H377" s="35" t="s">
        <v>669</v>
      </c>
    </row>
    <row r="378" spans="1:8" x14ac:dyDescent="0.2">
      <c r="A378" s="14">
        <v>2015</v>
      </c>
      <c r="B378" s="14" t="s">
        <v>78</v>
      </c>
      <c r="C378" s="14" t="s">
        <v>90</v>
      </c>
      <c r="D378" s="14" t="s">
        <v>294</v>
      </c>
      <c r="E378" s="14" t="s">
        <v>115</v>
      </c>
      <c r="F378" s="75">
        <v>13428</v>
      </c>
      <c r="G378" s="14">
        <v>8952</v>
      </c>
      <c r="H378" s="35" t="s">
        <v>670</v>
      </c>
    </row>
    <row r="379" spans="1:8" x14ac:dyDescent="0.2">
      <c r="A379" s="14">
        <v>2015</v>
      </c>
      <c r="B379" s="14" t="s">
        <v>78</v>
      </c>
      <c r="C379" s="14" t="s">
        <v>140</v>
      </c>
      <c r="D379" s="14" t="s">
        <v>294</v>
      </c>
      <c r="E379" s="14" t="s">
        <v>115</v>
      </c>
      <c r="F379" s="75">
        <v>14619</v>
      </c>
      <c r="G379" s="14">
        <v>9746</v>
      </c>
      <c r="H379" s="35" t="s">
        <v>671</v>
      </c>
    </row>
    <row r="380" spans="1:8" x14ac:dyDescent="0.2">
      <c r="A380" s="14">
        <v>2015</v>
      </c>
      <c r="B380" s="14" t="s">
        <v>78</v>
      </c>
      <c r="C380" s="14" t="s">
        <v>143</v>
      </c>
      <c r="D380" s="14" t="s">
        <v>294</v>
      </c>
      <c r="E380" s="14" t="s">
        <v>115</v>
      </c>
      <c r="F380" s="75">
        <v>2367</v>
      </c>
      <c r="G380" s="14">
        <v>1578</v>
      </c>
      <c r="H380" s="35" t="s">
        <v>672</v>
      </c>
    </row>
    <row r="381" spans="1:8" x14ac:dyDescent="0.2">
      <c r="A381" s="14">
        <v>2015</v>
      </c>
      <c r="B381" s="14" t="s">
        <v>78</v>
      </c>
      <c r="C381" s="14" t="s">
        <v>90</v>
      </c>
      <c r="D381" s="14" t="s">
        <v>139</v>
      </c>
      <c r="E381" s="14" t="s">
        <v>118</v>
      </c>
      <c r="F381" s="75">
        <f t="shared" ref="F381:F392" si="18">G381*1.5</f>
        <v>11838</v>
      </c>
      <c r="G381" s="14">
        <v>7892</v>
      </c>
      <c r="H381" s="35" t="s">
        <v>673</v>
      </c>
    </row>
    <row r="382" spans="1:8" x14ac:dyDescent="0.2">
      <c r="A382" s="14">
        <v>2015</v>
      </c>
      <c r="B382" s="14" t="s">
        <v>78</v>
      </c>
      <c r="C382" s="14" t="s">
        <v>90</v>
      </c>
      <c r="D382" s="14" t="s">
        <v>139</v>
      </c>
      <c r="E382" s="14" t="s">
        <v>118</v>
      </c>
      <c r="F382" s="75">
        <f t="shared" si="18"/>
        <v>11979</v>
      </c>
      <c r="G382" s="14">
        <v>7986</v>
      </c>
      <c r="H382" s="35" t="s">
        <v>674</v>
      </c>
    </row>
    <row r="383" spans="1:8" x14ac:dyDescent="0.2">
      <c r="A383" s="14">
        <v>2015</v>
      </c>
      <c r="B383" s="14" t="s">
        <v>78</v>
      </c>
      <c r="C383" s="14" t="s">
        <v>90</v>
      </c>
      <c r="D383" s="14" t="s">
        <v>139</v>
      </c>
      <c r="E383" s="14" t="s">
        <v>118</v>
      </c>
      <c r="F383" s="75">
        <f t="shared" si="18"/>
        <v>11838</v>
      </c>
      <c r="G383" s="14">
        <v>7892</v>
      </c>
      <c r="H383" s="35" t="s">
        <v>675</v>
      </c>
    </row>
    <row r="384" spans="1:8" x14ac:dyDescent="0.2">
      <c r="A384" s="14">
        <v>2015</v>
      </c>
      <c r="B384" s="14" t="s">
        <v>78</v>
      </c>
      <c r="C384" s="14" t="s">
        <v>90</v>
      </c>
      <c r="D384" s="14" t="s">
        <v>139</v>
      </c>
      <c r="E384" s="14" t="s">
        <v>118</v>
      </c>
      <c r="F384" s="75">
        <f t="shared" si="18"/>
        <v>11979</v>
      </c>
      <c r="G384" s="14">
        <v>7986</v>
      </c>
      <c r="H384" s="35" t="s">
        <v>676</v>
      </c>
    </row>
    <row r="385" spans="1:8" x14ac:dyDescent="0.2">
      <c r="A385" s="14">
        <v>2015</v>
      </c>
      <c r="B385" s="14" t="s">
        <v>78</v>
      </c>
      <c r="C385" s="14" t="s">
        <v>90</v>
      </c>
      <c r="D385" s="14" t="s">
        <v>141</v>
      </c>
      <c r="E385" s="14" t="s">
        <v>142</v>
      </c>
      <c r="F385" s="75">
        <f t="shared" si="18"/>
        <v>7030.5</v>
      </c>
      <c r="G385" s="14">
        <v>4687</v>
      </c>
      <c r="H385" s="35" t="s">
        <v>677</v>
      </c>
    </row>
    <row r="386" spans="1:8" x14ac:dyDescent="0.2">
      <c r="A386" s="14">
        <v>2015</v>
      </c>
      <c r="B386" s="14" t="s">
        <v>78</v>
      </c>
      <c r="C386" s="14" t="s">
        <v>138</v>
      </c>
      <c r="D386" s="14" t="s">
        <v>141</v>
      </c>
      <c r="E386" s="14" t="s">
        <v>142</v>
      </c>
      <c r="F386" s="75">
        <f t="shared" si="18"/>
        <v>2046</v>
      </c>
      <c r="G386" s="14">
        <v>1364</v>
      </c>
      <c r="H386" s="35" t="s">
        <v>678</v>
      </c>
    </row>
    <row r="387" spans="1:8" x14ac:dyDescent="0.2">
      <c r="A387" s="14">
        <v>2015</v>
      </c>
      <c r="B387" s="14" t="s">
        <v>78</v>
      </c>
      <c r="C387" s="14" t="s">
        <v>90</v>
      </c>
      <c r="D387" s="14" t="s">
        <v>141</v>
      </c>
      <c r="E387" s="14" t="s">
        <v>142</v>
      </c>
      <c r="F387" s="75">
        <f t="shared" si="18"/>
        <v>7030.5</v>
      </c>
      <c r="G387" s="14">
        <v>4687</v>
      </c>
      <c r="H387" s="35" t="s">
        <v>679</v>
      </c>
    </row>
    <row r="388" spans="1:8" x14ac:dyDescent="0.2">
      <c r="A388" s="14">
        <v>2015</v>
      </c>
      <c r="B388" s="14" t="s">
        <v>78</v>
      </c>
      <c r="C388" s="14" t="s">
        <v>138</v>
      </c>
      <c r="D388" s="14" t="s">
        <v>141</v>
      </c>
      <c r="E388" s="14" t="s">
        <v>142</v>
      </c>
      <c r="F388" s="75">
        <f t="shared" si="18"/>
        <v>2046</v>
      </c>
      <c r="G388" s="14">
        <v>1364</v>
      </c>
      <c r="H388" s="35" t="s">
        <v>680</v>
      </c>
    </row>
    <row r="389" spans="1:8" x14ac:dyDescent="0.2">
      <c r="A389" s="14">
        <v>2015</v>
      </c>
      <c r="B389" s="14" t="s">
        <v>88</v>
      </c>
      <c r="C389" s="14" t="s">
        <v>138</v>
      </c>
      <c r="D389" s="14" t="s">
        <v>137</v>
      </c>
      <c r="E389" s="14" t="s">
        <v>117</v>
      </c>
      <c r="F389" s="75">
        <f t="shared" si="18"/>
        <v>747</v>
      </c>
      <c r="G389" s="14">
        <v>498</v>
      </c>
      <c r="H389" s="35" t="s">
        <v>681</v>
      </c>
    </row>
    <row r="390" spans="1:8" x14ac:dyDescent="0.2">
      <c r="A390" s="14">
        <v>2015</v>
      </c>
      <c r="B390" s="14" t="s">
        <v>88</v>
      </c>
      <c r="C390" s="14" t="s">
        <v>143</v>
      </c>
      <c r="D390" s="14" t="s">
        <v>137</v>
      </c>
      <c r="E390" s="14" t="s">
        <v>117</v>
      </c>
      <c r="F390" s="75">
        <f t="shared" si="18"/>
        <v>7342.5</v>
      </c>
      <c r="G390" s="14">
        <v>4895</v>
      </c>
      <c r="H390" s="35" t="s">
        <v>682</v>
      </c>
    </row>
    <row r="391" spans="1:8" x14ac:dyDescent="0.2">
      <c r="A391" s="14">
        <v>2015</v>
      </c>
      <c r="B391" s="14" t="s">
        <v>88</v>
      </c>
      <c r="C391" s="14" t="s">
        <v>138</v>
      </c>
      <c r="D391" s="14" t="s">
        <v>137</v>
      </c>
      <c r="E391" s="14" t="s">
        <v>117</v>
      </c>
      <c r="F391" s="75">
        <f t="shared" si="18"/>
        <v>747</v>
      </c>
      <c r="G391" s="14">
        <v>498</v>
      </c>
      <c r="H391" s="35" t="s">
        <v>683</v>
      </c>
    </row>
    <row r="392" spans="1:8" x14ac:dyDescent="0.2">
      <c r="A392" s="14">
        <v>2015</v>
      </c>
      <c r="B392" s="14" t="s">
        <v>88</v>
      </c>
      <c r="C392" s="14" t="s">
        <v>143</v>
      </c>
      <c r="D392" s="14" t="s">
        <v>137</v>
      </c>
      <c r="E392" s="14" t="s">
        <v>117</v>
      </c>
      <c r="F392" s="75">
        <f t="shared" si="18"/>
        <v>7342.5</v>
      </c>
      <c r="G392" s="14">
        <v>4895</v>
      </c>
      <c r="H392" s="35" t="s">
        <v>684</v>
      </c>
    </row>
    <row r="393" spans="1:8" x14ac:dyDescent="0.2">
      <c r="A393" s="14">
        <v>2015</v>
      </c>
      <c r="B393" s="14" t="s">
        <v>88</v>
      </c>
      <c r="C393" s="14" t="s">
        <v>143</v>
      </c>
      <c r="D393" s="14" t="s">
        <v>293</v>
      </c>
      <c r="E393" s="14" t="s">
        <v>142</v>
      </c>
      <c r="F393" s="75">
        <v>7344</v>
      </c>
      <c r="G393" s="14">
        <v>4896</v>
      </c>
      <c r="H393" s="35" t="s">
        <v>685</v>
      </c>
    </row>
    <row r="394" spans="1:8" x14ac:dyDescent="0.2">
      <c r="A394" s="14">
        <v>2015</v>
      </c>
      <c r="B394" s="14" t="s">
        <v>88</v>
      </c>
      <c r="C394" s="14" t="s">
        <v>90</v>
      </c>
      <c r="D394" s="14" t="s">
        <v>293</v>
      </c>
      <c r="E394" s="14" t="s">
        <v>142</v>
      </c>
      <c r="F394" s="75">
        <v>6880.5</v>
      </c>
      <c r="G394" s="14">
        <v>4587</v>
      </c>
      <c r="H394" s="35" t="s">
        <v>686</v>
      </c>
    </row>
    <row r="395" spans="1:8" x14ac:dyDescent="0.2">
      <c r="A395" s="14">
        <v>2015</v>
      </c>
      <c r="B395" s="14" t="s">
        <v>88</v>
      </c>
      <c r="C395" s="14" t="s">
        <v>143</v>
      </c>
      <c r="D395" s="14" t="s">
        <v>293</v>
      </c>
      <c r="E395" s="14" t="s">
        <v>142</v>
      </c>
      <c r="F395" s="75">
        <v>7344</v>
      </c>
      <c r="G395" s="14">
        <v>4896</v>
      </c>
      <c r="H395" s="35" t="s">
        <v>687</v>
      </c>
    </row>
    <row r="396" spans="1:8" x14ac:dyDescent="0.2">
      <c r="A396" s="14">
        <v>2015</v>
      </c>
      <c r="B396" s="14" t="s">
        <v>88</v>
      </c>
      <c r="C396" s="14" t="s">
        <v>90</v>
      </c>
      <c r="D396" s="14" t="s">
        <v>293</v>
      </c>
      <c r="E396" s="14" t="s">
        <v>142</v>
      </c>
      <c r="F396" s="75">
        <v>6880.5</v>
      </c>
      <c r="G396" s="14">
        <v>4587</v>
      </c>
      <c r="H396" s="35" t="s">
        <v>688</v>
      </c>
    </row>
    <row r="397" spans="1:8" x14ac:dyDescent="0.2">
      <c r="A397" s="14">
        <v>2015</v>
      </c>
      <c r="B397" s="14" t="s">
        <v>88</v>
      </c>
      <c r="C397" s="14" t="s">
        <v>90</v>
      </c>
      <c r="D397" s="14" t="s">
        <v>294</v>
      </c>
      <c r="E397" s="14" t="s">
        <v>115</v>
      </c>
      <c r="F397" s="75">
        <v>5380.5</v>
      </c>
      <c r="G397" s="14">
        <v>3587</v>
      </c>
      <c r="H397" s="35" t="s">
        <v>689</v>
      </c>
    </row>
    <row r="398" spans="1:8" x14ac:dyDescent="0.2">
      <c r="A398" s="14">
        <v>2015</v>
      </c>
      <c r="B398" s="14" t="s">
        <v>88</v>
      </c>
      <c r="C398" s="14" t="s">
        <v>90</v>
      </c>
      <c r="D398" s="14" t="s">
        <v>294</v>
      </c>
      <c r="E398" s="14" t="s">
        <v>115</v>
      </c>
      <c r="F398" s="75">
        <v>11838</v>
      </c>
      <c r="G398" s="14">
        <v>7892</v>
      </c>
      <c r="H398" s="35" t="s">
        <v>690</v>
      </c>
    </row>
    <row r="399" spans="1:8" x14ac:dyDescent="0.2">
      <c r="A399" s="14">
        <v>2015</v>
      </c>
      <c r="B399" s="14" t="s">
        <v>88</v>
      </c>
      <c r="C399" s="14" t="s">
        <v>90</v>
      </c>
      <c r="D399" s="14" t="s">
        <v>294</v>
      </c>
      <c r="E399" s="14" t="s">
        <v>115</v>
      </c>
      <c r="F399" s="75">
        <v>5380.5</v>
      </c>
      <c r="G399" s="14">
        <v>3587</v>
      </c>
      <c r="H399" s="35" t="s">
        <v>691</v>
      </c>
    </row>
    <row r="400" spans="1:8" x14ac:dyDescent="0.2">
      <c r="A400" s="14">
        <v>2015</v>
      </c>
      <c r="B400" s="14" t="s">
        <v>88</v>
      </c>
      <c r="C400" s="14" t="s">
        <v>90</v>
      </c>
      <c r="D400" s="14" t="s">
        <v>294</v>
      </c>
      <c r="E400" s="14" t="s">
        <v>115</v>
      </c>
      <c r="F400" s="75">
        <v>11838</v>
      </c>
      <c r="G400" s="14">
        <v>7892</v>
      </c>
      <c r="H400" s="35" t="s">
        <v>692</v>
      </c>
    </row>
    <row r="401" spans="1:8" x14ac:dyDescent="0.2">
      <c r="A401" s="14">
        <v>2015</v>
      </c>
      <c r="B401" s="14" t="s">
        <v>88</v>
      </c>
      <c r="C401" s="14" t="s">
        <v>143</v>
      </c>
      <c r="D401" s="14" t="s">
        <v>139</v>
      </c>
      <c r="E401" s="14" t="s">
        <v>118</v>
      </c>
      <c r="F401" s="75">
        <f t="shared" ref="F401:F410" si="19">G401*1.5</f>
        <v>7344</v>
      </c>
      <c r="G401" s="14">
        <v>4896</v>
      </c>
      <c r="H401" s="35" t="s">
        <v>693</v>
      </c>
    </row>
    <row r="402" spans="1:8" x14ac:dyDescent="0.2">
      <c r="A402" s="14">
        <v>2015</v>
      </c>
      <c r="B402" s="14" t="s">
        <v>88</v>
      </c>
      <c r="C402" s="14" t="s">
        <v>90</v>
      </c>
      <c r="D402" s="14" t="s">
        <v>139</v>
      </c>
      <c r="E402" s="14" t="s">
        <v>118</v>
      </c>
      <c r="F402" s="75">
        <f t="shared" si="19"/>
        <v>6880.5</v>
      </c>
      <c r="G402" s="14">
        <v>4587</v>
      </c>
      <c r="H402" s="35" t="s">
        <v>694</v>
      </c>
    </row>
    <row r="403" spans="1:8" x14ac:dyDescent="0.2">
      <c r="A403" s="14">
        <v>2015</v>
      </c>
      <c r="B403" s="14" t="s">
        <v>88</v>
      </c>
      <c r="C403" s="14" t="s">
        <v>90</v>
      </c>
      <c r="D403" s="14" t="s">
        <v>139</v>
      </c>
      <c r="E403" s="14" t="s">
        <v>118</v>
      </c>
      <c r="F403" s="75">
        <f t="shared" si="19"/>
        <v>7318.5</v>
      </c>
      <c r="G403" s="14">
        <v>4879</v>
      </c>
      <c r="H403" s="35" t="s">
        <v>695</v>
      </c>
    </row>
    <row r="404" spans="1:8" x14ac:dyDescent="0.2">
      <c r="A404" s="14">
        <v>2015</v>
      </c>
      <c r="B404" s="14" t="s">
        <v>88</v>
      </c>
      <c r="C404" s="14" t="s">
        <v>143</v>
      </c>
      <c r="D404" s="14" t="s">
        <v>139</v>
      </c>
      <c r="E404" s="14" t="s">
        <v>118</v>
      </c>
      <c r="F404" s="75">
        <f t="shared" si="19"/>
        <v>7344</v>
      </c>
      <c r="G404" s="14">
        <v>4896</v>
      </c>
      <c r="H404" s="35" t="s">
        <v>696</v>
      </c>
    </row>
    <row r="405" spans="1:8" x14ac:dyDescent="0.2">
      <c r="A405" s="14">
        <v>2015</v>
      </c>
      <c r="B405" s="14" t="s">
        <v>88</v>
      </c>
      <c r="C405" s="14" t="s">
        <v>90</v>
      </c>
      <c r="D405" s="14" t="s">
        <v>139</v>
      </c>
      <c r="E405" s="14" t="s">
        <v>118</v>
      </c>
      <c r="F405" s="75">
        <f t="shared" si="19"/>
        <v>6880.5</v>
      </c>
      <c r="G405" s="14">
        <v>4587</v>
      </c>
      <c r="H405" s="35" t="s">
        <v>697</v>
      </c>
    </row>
    <row r="406" spans="1:8" x14ac:dyDescent="0.2">
      <c r="A406" s="14">
        <v>2015</v>
      </c>
      <c r="B406" s="14" t="s">
        <v>88</v>
      </c>
      <c r="C406" s="14" t="s">
        <v>90</v>
      </c>
      <c r="D406" s="14" t="s">
        <v>139</v>
      </c>
      <c r="E406" s="14" t="s">
        <v>118</v>
      </c>
      <c r="F406" s="75">
        <f t="shared" si="19"/>
        <v>7318.5</v>
      </c>
      <c r="G406" s="14">
        <v>4879</v>
      </c>
      <c r="H406" s="35" t="s">
        <v>698</v>
      </c>
    </row>
    <row r="407" spans="1:8" x14ac:dyDescent="0.2">
      <c r="A407" s="14">
        <v>2015</v>
      </c>
      <c r="B407" s="14" t="s">
        <v>88</v>
      </c>
      <c r="C407" s="14" t="s">
        <v>140</v>
      </c>
      <c r="D407" s="14" t="s">
        <v>141</v>
      </c>
      <c r="E407" s="14" t="s">
        <v>142</v>
      </c>
      <c r="F407" s="75">
        <f t="shared" si="19"/>
        <v>6880.5</v>
      </c>
      <c r="G407" s="14">
        <v>4587</v>
      </c>
      <c r="H407" s="35" t="s">
        <v>699</v>
      </c>
    </row>
    <row r="408" spans="1:8" x14ac:dyDescent="0.2">
      <c r="A408" s="14">
        <v>2015</v>
      </c>
      <c r="B408" s="14" t="s">
        <v>88</v>
      </c>
      <c r="C408" s="14" t="s">
        <v>90</v>
      </c>
      <c r="D408" s="14" t="s">
        <v>141</v>
      </c>
      <c r="E408" s="14" t="s">
        <v>142</v>
      </c>
      <c r="F408" s="75">
        <f t="shared" si="19"/>
        <v>9486</v>
      </c>
      <c r="G408" s="14">
        <v>6324</v>
      </c>
      <c r="H408" s="35" t="s">
        <v>700</v>
      </c>
    </row>
    <row r="409" spans="1:8" x14ac:dyDescent="0.2">
      <c r="A409" s="14">
        <v>2015</v>
      </c>
      <c r="B409" s="14" t="s">
        <v>88</v>
      </c>
      <c r="C409" s="14" t="s">
        <v>140</v>
      </c>
      <c r="D409" s="14" t="s">
        <v>141</v>
      </c>
      <c r="E409" s="14" t="s">
        <v>142</v>
      </c>
      <c r="F409" s="75">
        <f t="shared" si="19"/>
        <v>6880.5</v>
      </c>
      <c r="G409" s="14">
        <v>4587</v>
      </c>
      <c r="H409" s="35" t="s">
        <v>701</v>
      </c>
    </row>
    <row r="410" spans="1:8" x14ac:dyDescent="0.2">
      <c r="A410" s="14">
        <v>2015</v>
      </c>
      <c r="B410" s="14" t="s">
        <v>88</v>
      </c>
      <c r="C410" s="14" t="s">
        <v>90</v>
      </c>
      <c r="D410" s="14" t="s">
        <v>141</v>
      </c>
      <c r="E410" s="14" t="s">
        <v>142</v>
      </c>
      <c r="F410" s="75">
        <f t="shared" si="19"/>
        <v>9486</v>
      </c>
      <c r="G410" s="14">
        <v>6324</v>
      </c>
      <c r="H410" s="35" t="s">
        <v>702</v>
      </c>
    </row>
    <row r="411" spans="1:8" x14ac:dyDescent="0.2">
      <c r="A411" s="14">
        <v>2015</v>
      </c>
      <c r="B411" s="14" t="s">
        <v>89</v>
      </c>
      <c r="C411" s="14" t="s">
        <v>90</v>
      </c>
      <c r="D411" s="14" t="s">
        <v>137</v>
      </c>
      <c r="E411" s="14" t="s">
        <v>117</v>
      </c>
      <c r="F411" s="75">
        <v>4666</v>
      </c>
      <c r="G411" s="14">
        <v>5623</v>
      </c>
      <c r="H411" s="35" t="s">
        <v>703</v>
      </c>
    </row>
    <row r="412" spans="1:8" x14ac:dyDescent="0.2">
      <c r="A412" s="14">
        <v>2015</v>
      </c>
      <c r="B412" s="14" t="s">
        <v>89</v>
      </c>
      <c r="C412" s="14" t="s">
        <v>90</v>
      </c>
      <c r="D412" s="14" t="s">
        <v>137</v>
      </c>
      <c r="E412" s="14" t="s">
        <v>117</v>
      </c>
      <c r="F412" s="75">
        <f>G412*1.5</f>
        <v>10992</v>
      </c>
      <c r="G412" s="14">
        <v>7328</v>
      </c>
      <c r="H412" s="35" t="s">
        <v>704</v>
      </c>
    </row>
    <row r="413" spans="1:8" x14ac:dyDescent="0.2">
      <c r="A413" s="14">
        <v>2015</v>
      </c>
      <c r="B413" s="14" t="s">
        <v>89</v>
      </c>
      <c r="C413" s="14" t="s">
        <v>90</v>
      </c>
      <c r="D413" s="14" t="s">
        <v>137</v>
      </c>
      <c r="E413" s="14" t="s">
        <v>117</v>
      </c>
      <c r="F413" s="75">
        <v>4666</v>
      </c>
      <c r="G413" s="14">
        <v>5623</v>
      </c>
      <c r="H413" s="35" t="s">
        <v>705</v>
      </c>
    </row>
    <row r="414" spans="1:8" x14ac:dyDescent="0.2">
      <c r="A414" s="14">
        <v>2015</v>
      </c>
      <c r="B414" s="14" t="s">
        <v>89</v>
      </c>
      <c r="C414" s="14" t="s">
        <v>90</v>
      </c>
      <c r="D414" s="14" t="s">
        <v>137</v>
      </c>
      <c r="E414" s="14" t="s">
        <v>117</v>
      </c>
      <c r="F414" s="75">
        <f>G414*1.5</f>
        <v>10992</v>
      </c>
      <c r="G414" s="14">
        <v>7328</v>
      </c>
      <c r="H414" s="35" t="s">
        <v>706</v>
      </c>
    </row>
    <row r="415" spans="1:8" x14ac:dyDescent="0.2">
      <c r="A415" s="14">
        <v>2015</v>
      </c>
      <c r="B415" s="14" t="s">
        <v>89</v>
      </c>
      <c r="C415" s="14" t="s">
        <v>90</v>
      </c>
      <c r="D415" s="14" t="s">
        <v>293</v>
      </c>
      <c r="E415" s="14" t="s">
        <v>142</v>
      </c>
      <c r="F415" s="75">
        <v>4666</v>
      </c>
      <c r="G415" s="14">
        <v>5623</v>
      </c>
      <c r="H415" s="35" t="s">
        <v>707</v>
      </c>
    </row>
    <row r="416" spans="1:8" x14ac:dyDescent="0.2">
      <c r="A416" s="14">
        <v>2015</v>
      </c>
      <c r="B416" s="14" t="s">
        <v>89</v>
      </c>
      <c r="C416" s="14" t="s">
        <v>138</v>
      </c>
      <c r="D416" s="14" t="s">
        <v>293</v>
      </c>
      <c r="E416" s="14" t="s">
        <v>142</v>
      </c>
      <c r="F416" s="75">
        <v>3897</v>
      </c>
      <c r="G416" s="14">
        <v>2598</v>
      </c>
      <c r="H416" s="35" t="s">
        <v>708</v>
      </c>
    </row>
    <row r="417" spans="1:8" x14ac:dyDescent="0.2">
      <c r="A417" s="14">
        <v>2015</v>
      </c>
      <c r="B417" s="14" t="s">
        <v>89</v>
      </c>
      <c r="C417" s="14" t="s">
        <v>90</v>
      </c>
      <c r="D417" s="14" t="s">
        <v>293</v>
      </c>
      <c r="E417" s="14" t="s">
        <v>142</v>
      </c>
      <c r="F417" s="75">
        <v>4666</v>
      </c>
      <c r="G417" s="14">
        <v>5623</v>
      </c>
      <c r="H417" s="35" t="s">
        <v>709</v>
      </c>
    </row>
    <row r="418" spans="1:8" x14ac:dyDescent="0.2">
      <c r="A418" s="14">
        <v>2015</v>
      </c>
      <c r="B418" s="14" t="s">
        <v>89</v>
      </c>
      <c r="C418" s="14" t="s">
        <v>138</v>
      </c>
      <c r="D418" s="14" t="s">
        <v>293</v>
      </c>
      <c r="E418" s="14" t="s">
        <v>142</v>
      </c>
      <c r="F418" s="75">
        <v>3897</v>
      </c>
      <c r="G418" s="14">
        <v>2598</v>
      </c>
      <c r="H418" s="35" t="s">
        <v>710</v>
      </c>
    </row>
    <row r="419" spans="1:8" x14ac:dyDescent="0.2">
      <c r="A419" s="14">
        <v>2015</v>
      </c>
      <c r="B419" s="14" t="s">
        <v>89</v>
      </c>
      <c r="C419" s="14" t="s">
        <v>138</v>
      </c>
      <c r="D419" s="14" t="s">
        <v>294</v>
      </c>
      <c r="E419" s="14" t="s">
        <v>115</v>
      </c>
      <c r="F419" s="75">
        <f t="shared" ref="F419:F436" si="20">G419*1.5</f>
        <v>747</v>
      </c>
      <c r="G419" s="14">
        <v>498</v>
      </c>
      <c r="H419" s="35" t="s">
        <v>711</v>
      </c>
    </row>
    <row r="420" spans="1:8" x14ac:dyDescent="0.2">
      <c r="A420" s="14">
        <v>2015</v>
      </c>
      <c r="B420" s="14" t="s">
        <v>89</v>
      </c>
      <c r="C420" s="14" t="s">
        <v>140</v>
      </c>
      <c r="D420" s="14" t="s">
        <v>294</v>
      </c>
      <c r="E420" s="14" t="s">
        <v>115</v>
      </c>
      <c r="F420" s="75">
        <f t="shared" si="20"/>
        <v>6880.5</v>
      </c>
      <c r="G420" s="14">
        <v>4587</v>
      </c>
      <c r="H420" s="35" t="s">
        <v>712</v>
      </c>
    </row>
    <row r="421" spans="1:8" x14ac:dyDescent="0.2">
      <c r="A421" s="14">
        <v>2015</v>
      </c>
      <c r="B421" s="14" t="s">
        <v>89</v>
      </c>
      <c r="C421" s="14" t="s">
        <v>138</v>
      </c>
      <c r="D421" s="14" t="s">
        <v>294</v>
      </c>
      <c r="E421" s="14" t="s">
        <v>115</v>
      </c>
      <c r="F421" s="75">
        <f t="shared" si="20"/>
        <v>747</v>
      </c>
      <c r="G421" s="14">
        <v>498</v>
      </c>
      <c r="H421" s="35" t="s">
        <v>713</v>
      </c>
    </row>
    <row r="422" spans="1:8" x14ac:dyDescent="0.2">
      <c r="A422" s="14">
        <v>2015</v>
      </c>
      <c r="B422" s="14" t="s">
        <v>89</v>
      </c>
      <c r="C422" s="14" t="s">
        <v>140</v>
      </c>
      <c r="D422" s="14" t="s">
        <v>294</v>
      </c>
      <c r="E422" s="14" t="s">
        <v>115</v>
      </c>
      <c r="F422" s="75">
        <f t="shared" si="20"/>
        <v>6880.5</v>
      </c>
      <c r="G422" s="14">
        <v>4587</v>
      </c>
      <c r="H422" s="35" t="s">
        <v>714</v>
      </c>
    </row>
    <row r="423" spans="1:8" x14ac:dyDescent="0.2">
      <c r="A423" s="14">
        <v>2015</v>
      </c>
      <c r="B423" s="14" t="s">
        <v>89</v>
      </c>
      <c r="C423" s="14" t="s">
        <v>138</v>
      </c>
      <c r="D423" s="14" t="s">
        <v>139</v>
      </c>
      <c r="E423" s="14" t="s">
        <v>118</v>
      </c>
      <c r="F423" s="75">
        <f t="shared" si="20"/>
        <v>3897</v>
      </c>
      <c r="G423" s="14">
        <v>2598</v>
      </c>
      <c r="H423" s="35" t="s">
        <v>715</v>
      </c>
    </row>
    <row r="424" spans="1:8" x14ac:dyDescent="0.2">
      <c r="A424" s="14">
        <v>2015</v>
      </c>
      <c r="B424" s="14" t="s">
        <v>89</v>
      </c>
      <c r="C424" s="14" t="s">
        <v>143</v>
      </c>
      <c r="D424" s="14" t="s">
        <v>139</v>
      </c>
      <c r="E424" s="14" t="s">
        <v>118</v>
      </c>
      <c r="F424" s="75">
        <f t="shared" si="20"/>
        <v>3084</v>
      </c>
      <c r="G424" s="14">
        <v>2056</v>
      </c>
      <c r="H424" s="35" t="s">
        <v>716</v>
      </c>
    </row>
    <row r="425" spans="1:8" x14ac:dyDescent="0.2">
      <c r="A425" s="14">
        <v>2015</v>
      </c>
      <c r="B425" s="14" t="s">
        <v>89</v>
      </c>
      <c r="C425" s="14" t="s">
        <v>138</v>
      </c>
      <c r="D425" s="14" t="s">
        <v>139</v>
      </c>
      <c r="E425" s="14" t="s">
        <v>118</v>
      </c>
      <c r="F425" s="75">
        <f t="shared" si="20"/>
        <v>3897</v>
      </c>
      <c r="G425" s="14">
        <v>2598</v>
      </c>
      <c r="H425" s="35" t="s">
        <v>717</v>
      </c>
    </row>
    <row r="426" spans="1:8" x14ac:dyDescent="0.2">
      <c r="A426" s="14">
        <v>2015</v>
      </c>
      <c r="B426" s="14" t="s">
        <v>89</v>
      </c>
      <c r="C426" s="14" t="s">
        <v>143</v>
      </c>
      <c r="D426" s="14" t="s">
        <v>139</v>
      </c>
      <c r="E426" s="14" t="s">
        <v>118</v>
      </c>
      <c r="F426" s="75">
        <f t="shared" si="20"/>
        <v>3084</v>
      </c>
      <c r="G426" s="14">
        <v>2056</v>
      </c>
      <c r="H426" s="35" t="s">
        <v>718</v>
      </c>
    </row>
    <row r="427" spans="1:8" x14ac:dyDescent="0.2">
      <c r="A427" s="14">
        <v>2015</v>
      </c>
      <c r="B427" s="14" t="s">
        <v>89</v>
      </c>
      <c r="C427" s="14" t="s">
        <v>140</v>
      </c>
      <c r="D427" s="14" t="s">
        <v>141</v>
      </c>
      <c r="E427" s="14" t="s">
        <v>142</v>
      </c>
      <c r="F427" s="75">
        <f t="shared" si="20"/>
        <v>12370.5</v>
      </c>
      <c r="G427" s="14">
        <v>8247</v>
      </c>
      <c r="H427" s="35" t="s">
        <v>719</v>
      </c>
    </row>
    <row r="428" spans="1:8" x14ac:dyDescent="0.2">
      <c r="A428" s="14">
        <v>2015</v>
      </c>
      <c r="B428" s="14" t="s">
        <v>89</v>
      </c>
      <c r="C428" s="14" t="s">
        <v>90</v>
      </c>
      <c r="D428" s="14" t="s">
        <v>141</v>
      </c>
      <c r="E428" s="14" t="s">
        <v>142</v>
      </c>
      <c r="F428" s="75">
        <f t="shared" si="20"/>
        <v>13231.5</v>
      </c>
      <c r="G428" s="14">
        <v>8821</v>
      </c>
      <c r="H428" s="35" t="s">
        <v>720</v>
      </c>
    </row>
    <row r="429" spans="1:8" x14ac:dyDescent="0.2">
      <c r="A429" s="14">
        <v>2015</v>
      </c>
      <c r="B429" s="14" t="s">
        <v>89</v>
      </c>
      <c r="C429" s="14" t="s">
        <v>140</v>
      </c>
      <c r="D429" s="14" t="s">
        <v>141</v>
      </c>
      <c r="E429" s="14" t="s">
        <v>142</v>
      </c>
      <c r="F429" s="75">
        <f t="shared" si="20"/>
        <v>12370.5</v>
      </c>
      <c r="G429" s="14">
        <v>8247</v>
      </c>
      <c r="H429" s="35" t="s">
        <v>721</v>
      </c>
    </row>
    <row r="430" spans="1:8" x14ac:dyDescent="0.2">
      <c r="A430" s="14">
        <v>2015</v>
      </c>
      <c r="B430" s="14" t="s">
        <v>89</v>
      </c>
      <c r="C430" s="14" t="s">
        <v>90</v>
      </c>
      <c r="D430" s="14" t="s">
        <v>141</v>
      </c>
      <c r="E430" s="14" t="s">
        <v>142</v>
      </c>
      <c r="F430" s="75">
        <f t="shared" si="20"/>
        <v>13231.5</v>
      </c>
      <c r="G430" s="14">
        <v>8821</v>
      </c>
      <c r="H430" s="35" t="s">
        <v>722</v>
      </c>
    </row>
    <row r="431" spans="1:8" x14ac:dyDescent="0.2">
      <c r="A431" s="14">
        <v>2015</v>
      </c>
      <c r="B431" s="14" t="s">
        <v>144</v>
      </c>
      <c r="C431" s="14" t="s">
        <v>138</v>
      </c>
      <c r="D431" s="14" t="s">
        <v>137</v>
      </c>
      <c r="E431" s="14" t="s">
        <v>117</v>
      </c>
      <c r="F431" s="75">
        <f t="shared" si="20"/>
        <v>8832</v>
      </c>
      <c r="G431" s="14">
        <v>5888</v>
      </c>
      <c r="H431" s="35" t="s">
        <v>723</v>
      </c>
    </row>
    <row r="432" spans="1:8" x14ac:dyDescent="0.2">
      <c r="A432" s="14">
        <v>2015</v>
      </c>
      <c r="B432" s="14" t="s">
        <v>144</v>
      </c>
      <c r="C432" s="14" t="s">
        <v>90</v>
      </c>
      <c r="D432" s="14" t="s">
        <v>137</v>
      </c>
      <c r="E432" s="14" t="s">
        <v>117</v>
      </c>
      <c r="F432" s="75">
        <f t="shared" si="20"/>
        <v>13413</v>
      </c>
      <c r="G432" s="14">
        <v>8942</v>
      </c>
      <c r="H432" s="35" t="s">
        <v>724</v>
      </c>
    </row>
    <row r="433" spans="1:8" x14ac:dyDescent="0.2">
      <c r="A433" s="14">
        <v>2015</v>
      </c>
      <c r="B433" s="14" t="s">
        <v>144</v>
      </c>
      <c r="C433" s="14" t="s">
        <v>143</v>
      </c>
      <c r="D433" s="14" t="s">
        <v>137</v>
      </c>
      <c r="E433" s="14" t="s">
        <v>117</v>
      </c>
      <c r="F433" s="75">
        <f t="shared" si="20"/>
        <v>4026</v>
      </c>
      <c r="G433" s="14">
        <v>2684</v>
      </c>
      <c r="H433" s="35" t="s">
        <v>725</v>
      </c>
    </row>
    <row r="434" spans="1:8" x14ac:dyDescent="0.2">
      <c r="A434" s="14">
        <v>2015</v>
      </c>
      <c r="B434" s="14" t="s">
        <v>144</v>
      </c>
      <c r="C434" s="14" t="s">
        <v>138</v>
      </c>
      <c r="D434" s="14" t="s">
        <v>137</v>
      </c>
      <c r="E434" s="14" t="s">
        <v>117</v>
      </c>
      <c r="F434" s="75">
        <f t="shared" si="20"/>
        <v>8832</v>
      </c>
      <c r="G434" s="14">
        <v>5888</v>
      </c>
      <c r="H434" s="35" t="s">
        <v>726</v>
      </c>
    </row>
    <row r="435" spans="1:8" x14ac:dyDescent="0.2">
      <c r="A435" s="14">
        <v>2015</v>
      </c>
      <c r="B435" s="14" t="s">
        <v>144</v>
      </c>
      <c r="C435" s="14" t="s">
        <v>90</v>
      </c>
      <c r="D435" s="14" t="s">
        <v>137</v>
      </c>
      <c r="E435" s="14" t="s">
        <v>117</v>
      </c>
      <c r="F435" s="75">
        <f t="shared" si="20"/>
        <v>13413</v>
      </c>
      <c r="G435" s="14">
        <v>8942</v>
      </c>
      <c r="H435" s="35" t="s">
        <v>727</v>
      </c>
    </row>
    <row r="436" spans="1:8" x14ac:dyDescent="0.2">
      <c r="A436" s="14">
        <v>2015</v>
      </c>
      <c r="B436" s="14" t="s">
        <v>144</v>
      </c>
      <c r="C436" s="14" t="s">
        <v>143</v>
      </c>
      <c r="D436" s="14" t="s">
        <v>137</v>
      </c>
      <c r="E436" s="14" t="s">
        <v>117</v>
      </c>
      <c r="F436" s="75">
        <f t="shared" si="20"/>
        <v>4026</v>
      </c>
      <c r="G436" s="14">
        <v>2684</v>
      </c>
      <c r="H436" s="35" t="s">
        <v>728</v>
      </c>
    </row>
    <row r="437" spans="1:8" x14ac:dyDescent="0.2">
      <c r="A437" s="14">
        <v>2015</v>
      </c>
      <c r="B437" s="14" t="s">
        <v>144</v>
      </c>
      <c r="C437" s="14" t="s">
        <v>138</v>
      </c>
      <c r="D437" s="14" t="s">
        <v>293</v>
      </c>
      <c r="E437" s="14" t="s">
        <v>142</v>
      </c>
      <c r="F437" s="75">
        <v>8832</v>
      </c>
      <c r="G437" s="14">
        <v>5888</v>
      </c>
      <c r="H437" s="35" t="s">
        <v>729</v>
      </c>
    </row>
    <row r="438" spans="1:8" x14ac:dyDescent="0.2">
      <c r="A438" s="14">
        <v>2015</v>
      </c>
      <c r="B438" s="14" t="s">
        <v>144</v>
      </c>
      <c r="C438" s="14" t="s">
        <v>140</v>
      </c>
      <c r="D438" s="14" t="s">
        <v>293</v>
      </c>
      <c r="E438" s="14" t="s">
        <v>142</v>
      </c>
      <c r="F438" s="75">
        <v>3547.5</v>
      </c>
      <c r="G438" s="14">
        <v>2365</v>
      </c>
      <c r="H438" s="35" t="s">
        <v>730</v>
      </c>
    </row>
    <row r="439" spans="1:8" x14ac:dyDescent="0.2">
      <c r="A439" s="14">
        <v>2015</v>
      </c>
      <c r="B439" s="14" t="s">
        <v>144</v>
      </c>
      <c r="C439" s="14" t="s">
        <v>138</v>
      </c>
      <c r="D439" s="14" t="s">
        <v>293</v>
      </c>
      <c r="E439" s="14" t="s">
        <v>142</v>
      </c>
      <c r="F439" s="75">
        <v>8832</v>
      </c>
      <c r="G439" s="14">
        <v>5888</v>
      </c>
      <c r="H439" s="35" t="s">
        <v>731</v>
      </c>
    </row>
    <row r="440" spans="1:8" x14ac:dyDescent="0.2">
      <c r="A440" s="14">
        <v>2015</v>
      </c>
      <c r="B440" s="14" t="s">
        <v>144</v>
      </c>
      <c r="C440" s="14" t="s">
        <v>140</v>
      </c>
      <c r="D440" s="14" t="s">
        <v>293</v>
      </c>
      <c r="E440" s="14" t="s">
        <v>142</v>
      </c>
      <c r="F440" s="75">
        <v>3547.5</v>
      </c>
      <c r="G440" s="14">
        <v>2365</v>
      </c>
      <c r="H440" s="35" t="s">
        <v>732</v>
      </c>
    </row>
    <row r="441" spans="1:8" x14ac:dyDescent="0.2">
      <c r="A441" s="14">
        <v>2015</v>
      </c>
      <c r="B441" s="14" t="s">
        <v>144</v>
      </c>
      <c r="C441" s="14" t="s">
        <v>90</v>
      </c>
      <c r="D441" s="14" t="s">
        <v>294</v>
      </c>
      <c r="E441" s="14" t="s">
        <v>115</v>
      </c>
      <c r="F441" s="75">
        <f t="shared" ref="F441:F448" si="21">G441*1.5</f>
        <v>9486</v>
      </c>
      <c r="G441" s="14">
        <v>6324</v>
      </c>
      <c r="H441" s="35" t="s">
        <v>733</v>
      </c>
    </row>
    <row r="442" spans="1:8" x14ac:dyDescent="0.2">
      <c r="A442" s="14">
        <v>2015</v>
      </c>
      <c r="B442" s="14" t="s">
        <v>144</v>
      </c>
      <c r="C442" s="14" t="s">
        <v>143</v>
      </c>
      <c r="D442" s="14" t="s">
        <v>294</v>
      </c>
      <c r="E442" s="14" t="s">
        <v>115</v>
      </c>
      <c r="F442" s="75">
        <f t="shared" si="21"/>
        <v>7342.5</v>
      </c>
      <c r="G442" s="14">
        <v>4895</v>
      </c>
      <c r="H442" s="35" t="s">
        <v>734</v>
      </c>
    </row>
    <row r="443" spans="1:8" x14ac:dyDescent="0.2">
      <c r="A443" s="14">
        <v>2015</v>
      </c>
      <c r="B443" s="14" t="s">
        <v>144</v>
      </c>
      <c r="C443" s="14" t="s">
        <v>90</v>
      </c>
      <c r="D443" s="14" t="s">
        <v>294</v>
      </c>
      <c r="E443" s="14" t="s">
        <v>115</v>
      </c>
      <c r="F443" s="75">
        <f t="shared" si="21"/>
        <v>9486</v>
      </c>
      <c r="G443" s="14">
        <v>6324</v>
      </c>
      <c r="H443" s="35" t="s">
        <v>735</v>
      </c>
    </row>
    <row r="444" spans="1:8" x14ac:dyDescent="0.2">
      <c r="A444" s="14">
        <v>2015</v>
      </c>
      <c r="B444" s="14" t="s">
        <v>144</v>
      </c>
      <c r="C444" s="14" t="s">
        <v>143</v>
      </c>
      <c r="D444" s="14" t="s">
        <v>294</v>
      </c>
      <c r="E444" s="14" t="s">
        <v>115</v>
      </c>
      <c r="F444" s="75">
        <f t="shared" si="21"/>
        <v>7342.5</v>
      </c>
      <c r="G444" s="14">
        <v>4895</v>
      </c>
      <c r="H444" s="35" t="s">
        <v>736</v>
      </c>
    </row>
    <row r="445" spans="1:8" x14ac:dyDescent="0.2">
      <c r="A445" s="14">
        <v>2015</v>
      </c>
      <c r="B445" s="14" t="s">
        <v>144</v>
      </c>
      <c r="C445" s="14" t="s">
        <v>140</v>
      </c>
      <c r="D445" s="14" t="s">
        <v>139</v>
      </c>
      <c r="E445" s="14" t="s">
        <v>118</v>
      </c>
      <c r="F445" s="75">
        <f t="shared" si="21"/>
        <v>3547.5</v>
      </c>
      <c r="G445" s="14">
        <v>2365</v>
      </c>
      <c r="H445" s="35" t="s">
        <v>737</v>
      </c>
    </row>
    <row r="446" spans="1:8" x14ac:dyDescent="0.2">
      <c r="A446" s="14">
        <v>2015</v>
      </c>
      <c r="B446" s="14" t="s">
        <v>144</v>
      </c>
      <c r="C446" s="14" t="s">
        <v>90</v>
      </c>
      <c r="D446" s="14" t="s">
        <v>139</v>
      </c>
      <c r="E446" s="14" t="s">
        <v>118</v>
      </c>
      <c r="F446" s="75">
        <f t="shared" si="21"/>
        <v>3238.5</v>
      </c>
      <c r="G446" s="14">
        <v>2159</v>
      </c>
      <c r="H446" s="35" t="s">
        <v>738</v>
      </c>
    </row>
    <row r="447" spans="1:8" x14ac:dyDescent="0.2">
      <c r="A447" s="14">
        <v>2015</v>
      </c>
      <c r="B447" s="14" t="s">
        <v>144</v>
      </c>
      <c r="C447" s="14" t="s">
        <v>140</v>
      </c>
      <c r="D447" s="14" t="s">
        <v>139</v>
      </c>
      <c r="E447" s="14" t="s">
        <v>118</v>
      </c>
      <c r="F447" s="75">
        <f t="shared" si="21"/>
        <v>3547.5</v>
      </c>
      <c r="G447" s="14">
        <v>2365</v>
      </c>
      <c r="H447" s="35" t="s">
        <v>739</v>
      </c>
    </row>
    <row r="448" spans="1:8" x14ac:dyDescent="0.2">
      <c r="A448" s="14">
        <v>2015</v>
      </c>
      <c r="B448" s="14" t="s">
        <v>144</v>
      </c>
      <c r="C448" s="14" t="s">
        <v>90</v>
      </c>
      <c r="D448" s="14" t="s">
        <v>139</v>
      </c>
      <c r="E448" s="14" t="s">
        <v>118</v>
      </c>
      <c r="F448" s="75">
        <f t="shared" si="21"/>
        <v>3238.5</v>
      </c>
      <c r="G448" s="14">
        <v>2159</v>
      </c>
      <c r="H448" s="35" t="s">
        <v>740</v>
      </c>
    </row>
  </sheetData>
  <mergeCells count="2">
    <mergeCell ref="A1:H1"/>
    <mergeCell ref="A2:H2"/>
  </mergeCells>
  <phoneticPr fontId="0" type="noConversion"/>
  <printOptions gridLines="1" gridLinesSet="0"/>
  <pageMargins left="0.75" right="0.75" top="1" bottom="1" header="0.5" footer="0.5"/>
  <pageSetup orientation="portrait" r:id="rId1"/>
  <headerFooter alignWithMargins="0">
    <oddHeader>&amp;A</oddHeader>
    <oddFooter>Page &amp;P</oddFooter>
  </headerFooter>
  <ignoredErrors>
    <ignoredError sqref="H5:H448"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54DEB8D3-E072-4E3E-9894-4D87297B0F44}">
  <ds:schemaRefs/>
</ds:datastoreItem>
</file>

<file path=customXml/itemProps2.xml><?xml version="1.0" encoding="utf-8"?>
<ds:datastoreItem xmlns:ds="http://schemas.openxmlformats.org/officeDocument/2006/customXml" ds:itemID="{53E4238E-1B46-48E6-8C21-96F82744D28B}">
  <ds:schemaRefs/>
</ds:datastoreItem>
</file>

<file path=customXml/itemProps3.xml><?xml version="1.0" encoding="utf-8"?>
<ds:datastoreItem xmlns:ds="http://schemas.openxmlformats.org/officeDocument/2006/customXml" ds:itemID="{96E901FC-C903-4EF7-A260-76C1D5446288}">
  <ds:schemaRefs/>
</ds:datastoreItem>
</file>

<file path=customXml/itemProps4.xml><?xml version="1.0" encoding="utf-8"?>
<ds:datastoreItem xmlns:ds="http://schemas.openxmlformats.org/officeDocument/2006/customXml" ds:itemID="{D611EAC9-A00E-47E5-83B8-1415A14664C6}">
  <ds:schemaRefs/>
</ds:datastoreItem>
</file>

<file path=customXml/itemProps5.xml><?xml version="1.0" encoding="utf-8"?>
<ds:datastoreItem xmlns:ds="http://schemas.openxmlformats.org/officeDocument/2006/customXml" ds:itemID="{016A3388-4B91-4870-A908-52F9C68C0D1F}">
  <ds:schemaRefs/>
</ds:datastoreItem>
</file>

<file path=customXml/itemProps6.xml><?xml version="1.0" encoding="utf-8"?>
<ds:datastoreItem xmlns:ds="http://schemas.openxmlformats.org/officeDocument/2006/customXml" ds:itemID="{CA960AA2-B930-472F-BC1A-C0B3735BA250}">
  <ds:schemaRefs/>
</ds:datastoreItem>
</file>

<file path=customXml/itemProps7.xml><?xml version="1.0" encoding="utf-8"?>
<ds:datastoreItem xmlns:ds="http://schemas.openxmlformats.org/officeDocument/2006/customXml" ds:itemID="{3694778C-E62F-467C-9025-042335918F21}">
  <ds:schemaRefs/>
</ds:datastoreItem>
</file>

<file path=customXml/itemProps8.xml><?xml version="1.0" encoding="utf-8"?>
<ds:datastoreItem xmlns:ds="http://schemas.openxmlformats.org/officeDocument/2006/customXml" ds:itemID="{7816F3C1-7E77-4109-B63F-2EC397D7B4AB}">
  <ds:schemaRefs/>
</ds:datastoreItem>
</file>

<file path=customXml/itemProps9.xml><?xml version="1.0" encoding="utf-8"?>
<ds:datastoreItem xmlns:ds="http://schemas.openxmlformats.org/officeDocument/2006/customXml" ds:itemID="{77993A81-3B0C-4517-AD86-2C134331F104}">
  <ds:schemaRefs/>
</ds:datastoreItem>
</file>

<file path=customXml/itemProps10.xml><?xml version="1.0" encoding="utf-8"?>
<ds:datastoreItem xmlns:ds="http://schemas.openxmlformats.org/officeDocument/2006/customXml" ds:itemID="{33E395BA-E618-4BCC-9961-CE1FD414BFC2}">
  <ds:schemaRefs/>
</ds:datastoreItem>
</file>

<file path=customXml/itemProps11.xml><?xml version="1.0" encoding="utf-8"?>
<ds:datastoreItem xmlns:ds="http://schemas.openxmlformats.org/officeDocument/2006/customXml" ds:itemID="{08205F3E-F90C-4AE3-B520-79801CD7E32B}">
  <ds:schemaRefs/>
</ds:datastoreItem>
</file>

<file path=customXml/itemProps12.xml><?xml version="1.0" encoding="utf-8"?>
<ds:datastoreItem xmlns:ds="http://schemas.openxmlformats.org/officeDocument/2006/customXml" ds:itemID="{859FA33D-C564-4DC9-B1FB-47CD6AC6ED68}">
  <ds:schemaRefs/>
</ds:datastoreItem>
</file>

<file path=customXml/itemProps13.xml><?xml version="1.0" encoding="utf-8"?>
<ds:datastoreItem xmlns:ds="http://schemas.openxmlformats.org/officeDocument/2006/customXml" ds:itemID="{8C6469D4-2C6E-4E05-87B9-718F4341732C}">
  <ds:schemaRefs/>
</ds:datastoreItem>
</file>

<file path=customXml/itemProps14.xml><?xml version="1.0" encoding="utf-8"?>
<ds:datastoreItem xmlns:ds="http://schemas.openxmlformats.org/officeDocument/2006/customXml" ds:itemID="{6D5F0855-C367-4A1A-A6D6-C0F9F7693937}">
  <ds:schemaRefs/>
</ds:datastoreItem>
</file>

<file path=customXml/itemProps15.xml><?xml version="1.0" encoding="utf-8"?>
<ds:datastoreItem xmlns:ds="http://schemas.openxmlformats.org/officeDocument/2006/customXml" ds:itemID="{AB62578B-D52F-4234-A9E3-FDD263744661}">
  <ds:schemaRefs/>
</ds:datastoreItem>
</file>

<file path=customXml/itemProps16.xml><?xml version="1.0" encoding="utf-8"?>
<ds:datastoreItem xmlns:ds="http://schemas.openxmlformats.org/officeDocument/2006/customXml" ds:itemID="{93A23FE7-9CB0-4F7D-911E-5094A8C45070}">
  <ds:schemaRefs/>
</ds:datastoreItem>
</file>

<file path=customXml/itemProps17.xml><?xml version="1.0" encoding="utf-8"?>
<ds:datastoreItem xmlns:ds="http://schemas.openxmlformats.org/officeDocument/2006/customXml" ds:itemID="{4B7020ED-B67E-469D-B225-42BFDA85C5F7}">
  <ds:schemaRefs/>
</ds:datastoreItem>
</file>

<file path=customXml/itemProps18.xml><?xml version="1.0" encoding="utf-8"?>
<ds:datastoreItem xmlns:ds="http://schemas.openxmlformats.org/officeDocument/2006/customXml" ds:itemID="{859AF2DE-9306-40F8-B0C9-1125C64ABB31}">
  <ds:schemaRefs/>
</ds:datastoreItem>
</file>

<file path=customXml/itemProps19.xml><?xml version="1.0" encoding="utf-8"?>
<ds:datastoreItem xmlns:ds="http://schemas.openxmlformats.org/officeDocument/2006/customXml" ds:itemID="{079405FE-3F16-4AEF-87C5-A01DE5DDB990}">
  <ds:schemaRefs/>
</ds:datastoreItem>
</file>

<file path=customXml/itemProps20.xml><?xml version="1.0" encoding="utf-8"?>
<ds:datastoreItem xmlns:ds="http://schemas.openxmlformats.org/officeDocument/2006/customXml" ds:itemID="{93F2048C-E6F9-466B-B713-7D48EA96E8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2013</vt:lpstr>
      <vt:lpstr>2014</vt:lpstr>
      <vt:lpstr>2015</vt:lpstr>
      <vt:lpstr>SUMMARY</vt:lpstr>
      <vt:lpstr>Employee Records</vt:lpstr>
      <vt:lpstr>Customer Info</vt:lpstr>
      <vt:lpstr>Sheet2</vt:lpstr>
      <vt:lpstr>Order Info</vt:lpstr>
      <vt:lpstr>Sort &amp; Filter</vt:lpstr>
      <vt:lpstr>Subtotals</vt:lpstr>
      <vt:lpstr>Charting</vt:lpstr>
      <vt:lpstr>Buyers 2015</vt:lpstr>
      <vt:lpstr>New Hires</vt:lpstr>
      <vt:lpstr>List Functions</vt:lpstr>
      <vt:lpstr>Pivot</vt:lpstr>
      <vt:lpstr>Sales Data</vt:lpstr>
    </vt:vector>
  </TitlesOfParts>
  <Company>LearniT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katieg</dc:creator>
  <cp:lastModifiedBy>Karan Thakur</cp:lastModifiedBy>
  <dcterms:created xsi:type="dcterms:W3CDTF">1998-08-21T01:22:16Z</dcterms:created>
  <dcterms:modified xsi:type="dcterms:W3CDTF">2023-09-01T11:49:19Z</dcterms:modified>
</cp:coreProperties>
</file>